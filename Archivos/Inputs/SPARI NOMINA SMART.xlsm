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5" yWindow="0" windowWidth="9585" windowHeight="3975"/>
  </bookViews>
  <sheets>
    <sheet name="declaracion" sheetId="4" r:id="rId1"/>
    <sheet name="captura" sheetId="1" r:id="rId2"/>
    <sheet name="caja negra" sheetId="2" r:id="rId3"/>
    <sheet name="ANALISIS DICTAMEN" sheetId="3" r:id="rId4"/>
  </sheets>
  <definedNames>
    <definedName name="_xlnm.Print_Area" localSheetId="3">'ANALISIS DICTAMEN'!$A$1:$K$35</definedName>
    <definedName name="_xlnm.Print_Area" localSheetId="1">captura!$B$1:$J$43</definedName>
    <definedName name="MONTO" localSheetId="0">declaracion!$I$12</definedName>
  </definedNames>
  <calcPr calcId="145621"/>
</workbook>
</file>

<file path=xl/calcChain.xml><?xml version="1.0" encoding="utf-8"?>
<calcChain xmlns="http://schemas.openxmlformats.org/spreadsheetml/2006/main">
  <c r="E26" i="3" l="1"/>
  <c r="B22" i="3"/>
  <c r="E21" i="3"/>
  <c r="E2" i="3"/>
  <c r="U74" i="4" l="1"/>
  <c r="D17" i="1" l="1"/>
  <c r="D18" i="1" l="1"/>
  <c r="D16" i="1"/>
  <c r="D15" i="1"/>
  <c r="D14" i="1"/>
  <c r="D13" i="1"/>
  <c r="D12" i="1"/>
  <c r="B18" i="1"/>
  <c r="B17" i="1"/>
  <c r="B16" i="1"/>
  <c r="B15" i="1"/>
  <c r="B14" i="1"/>
  <c r="B13" i="1"/>
  <c r="B12" i="1"/>
  <c r="E4" i="2"/>
  <c r="E3" i="2"/>
  <c r="E10" i="2" l="1"/>
  <c r="D16" i="3" s="1"/>
  <c r="U79" i="4"/>
  <c r="D6" i="1"/>
  <c r="B25" i="3"/>
  <c r="B24" i="3"/>
  <c r="B23" i="3"/>
  <c r="H14" i="2"/>
  <c r="E6" i="3" l="1"/>
  <c r="D6" i="3"/>
  <c r="C6" i="3"/>
  <c r="K37" i="2"/>
  <c r="L37" i="2" s="1"/>
  <c r="K36" i="2"/>
  <c r="L36" i="2" s="1"/>
  <c r="K35" i="2"/>
  <c r="L35" i="2" s="1"/>
  <c r="E8" i="3"/>
  <c r="D8" i="3"/>
  <c r="E3" i="3"/>
  <c r="G57" i="2"/>
  <c r="G56" i="2"/>
  <c r="G55" i="2"/>
  <c r="G53" i="2"/>
  <c r="G52" i="2"/>
  <c r="G51" i="2"/>
  <c r="G50" i="2"/>
  <c r="G49" i="2"/>
  <c r="G47" i="2"/>
  <c r="G46" i="2"/>
  <c r="G45" i="2"/>
  <c r="G44" i="2"/>
  <c r="G43" i="2"/>
  <c r="G41" i="2"/>
  <c r="G40" i="2"/>
  <c r="G39" i="2"/>
  <c r="G38" i="2"/>
  <c r="G34" i="2"/>
  <c r="G33" i="2"/>
  <c r="G32" i="2"/>
  <c r="G31" i="2"/>
  <c r="G30" i="2"/>
  <c r="G29" i="2"/>
  <c r="G28" i="2"/>
  <c r="G27" i="2"/>
  <c r="G26" i="2"/>
  <c r="G25" i="2"/>
  <c r="G24" i="2"/>
  <c r="G22" i="2"/>
  <c r="G21" i="2"/>
  <c r="G20" i="2"/>
  <c r="G19" i="2"/>
  <c r="G17" i="2"/>
  <c r="G16" i="2"/>
  <c r="K57" i="2"/>
  <c r="L57" i="2" s="1"/>
  <c r="K56" i="2"/>
  <c r="L56" i="2" s="1"/>
  <c r="K55" i="2"/>
  <c r="L55" i="2" s="1"/>
  <c r="K53" i="2"/>
  <c r="L53" i="2" s="1"/>
  <c r="K52" i="2"/>
  <c r="L52" i="2" s="1"/>
  <c r="K51" i="2"/>
  <c r="L51" i="2" s="1"/>
  <c r="K50" i="2"/>
  <c r="L50" i="2" s="1"/>
  <c r="K49" i="2"/>
  <c r="L49" i="2" s="1"/>
  <c r="K47" i="2"/>
  <c r="L47" i="2" s="1"/>
  <c r="K46" i="2"/>
  <c r="L46" i="2" s="1"/>
  <c r="K45" i="2"/>
  <c r="L45" i="2" s="1"/>
  <c r="K44" i="2"/>
  <c r="L44" i="2" s="1"/>
  <c r="K43" i="2"/>
  <c r="L43" i="2" s="1"/>
  <c r="K41" i="2"/>
  <c r="L41" i="2" s="1"/>
  <c r="K40" i="2"/>
  <c r="L40" i="2" s="1"/>
  <c r="K39" i="2"/>
  <c r="L39" i="2" s="1"/>
  <c r="K38" i="2"/>
  <c r="L38" i="2" s="1"/>
  <c r="K34" i="2"/>
  <c r="L34" i="2" s="1"/>
  <c r="K33" i="2"/>
  <c r="L33" i="2" s="1"/>
  <c r="K32" i="2"/>
  <c r="L32" i="2" s="1"/>
  <c r="K31" i="2"/>
  <c r="L31" i="2" s="1"/>
  <c r="K30" i="2"/>
  <c r="L30" i="2" s="1"/>
  <c r="K29" i="2"/>
  <c r="L29" i="2" s="1"/>
  <c r="K28" i="2"/>
  <c r="L28" i="2" s="1"/>
  <c r="K27" i="2"/>
  <c r="L27" i="2" s="1"/>
  <c r="K26" i="2"/>
  <c r="L26" i="2" s="1"/>
  <c r="K25" i="2"/>
  <c r="L25" i="2" s="1"/>
  <c r="K24" i="2"/>
  <c r="L24" i="2" s="1"/>
  <c r="K22" i="2"/>
  <c r="L22" i="2" s="1"/>
  <c r="K21" i="2"/>
  <c r="L21" i="2" s="1"/>
  <c r="K20" i="2"/>
  <c r="L20" i="2" s="1"/>
  <c r="K19" i="2"/>
  <c r="L19" i="2" s="1"/>
  <c r="K17" i="2"/>
  <c r="L17" i="2" s="1"/>
  <c r="K16" i="2"/>
  <c r="E2" i="2"/>
  <c r="E29" i="2"/>
  <c r="D29" i="2"/>
  <c r="B29" i="2"/>
  <c r="E28" i="2"/>
  <c r="D28" i="2"/>
  <c r="B28" i="2"/>
  <c r="E27" i="2"/>
  <c r="D27" i="2"/>
  <c r="B27" i="2"/>
  <c r="E26" i="2"/>
  <c r="D26" i="2"/>
  <c r="B26" i="2"/>
  <c r="E25" i="2"/>
  <c r="D25" i="2"/>
  <c r="B25" i="2"/>
  <c r="E24" i="2"/>
  <c r="D24" i="2"/>
  <c r="B24" i="2"/>
  <c r="E23" i="2"/>
  <c r="D23" i="2"/>
  <c r="B23" i="2"/>
  <c r="E22" i="2"/>
  <c r="D22" i="2"/>
  <c r="B22" i="2"/>
  <c r="E21" i="2"/>
  <c r="D21" i="2"/>
  <c r="B21" i="2"/>
  <c r="E20" i="2"/>
  <c r="D20" i="2"/>
  <c r="B20" i="2"/>
  <c r="D19" i="2"/>
  <c r="E11" i="2" s="1"/>
  <c r="B19" i="2"/>
  <c r="D18" i="2"/>
  <c r="E17" i="2"/>
  <c r="D17" i="2"/>
  <c r="B17" i="2"/>
  <c r="E16" i="2"/>
  <c r="D16" i="2"/>
  <c r="B16" i="2"/>
  <c r="E15" i="2"/>
  <c r="D15" i="2"/>
  <c r="B15" i="2"/>
  <c r="D9" i="1"/>
  <c r="E18" i="2" s="1"/>
  <c r="M17" i="3" l="1"/>
  <c r="N13" i="3"/>
  <c r="E22" i="3"/>
  <c r="E19" i="2"/>
  <c r="D11" i="1" s="1"/>
  <c r="L16" i="2"/>
  <c r="L14" i="2" s="1"/>
  <c r="E9" i="3" l="1"/>
  <c r="D9" i="3"/>
  <c r="E30" i="2"/>
  <c r="D22" i="1"/>
  <c r="E6" i="2" l="1"/>
  <c r="D13" i="3" l="1"/>
  <c r="E8" i="2"/>
  <c r="E23" i="3"/>
  <c r="E25" i="3"/>
  <c r="E7" i="2"/>
  <c r="E24" i="3" l="1"/>
  <c r="E9" i="2"/>
</calcChain>
</file>

<file path=xl/sharedStrings.xml><?xml version="1.0" encoding="utf-8"?>
<sst xmlns="http://schemas.openxmlformats.org/spreadsheetml/2006/main" count="202" uniqueCount="170">
  <si>
    <t>CUANTITATIVO</t>
  </si>
  <si>
    <t>CUALITATIVO</t>
  </si>
  <si>
    <t>HOMBRE</t>
  </si>
  <si>
    <t>MUJER</t>
  </si>
  <si>
    <t>SOLTERO</t>
  </si>
  <si>
    <t>CASADO</t>
  </si>
  <si>
    <t>VIUDO</t>
  </si>
  <si>
    <t>DIVORCIADO</t>
  </si>
  <si>
    <t>RENTADO</t>
  </si>
  <si>
    <t>VIVE CON FAMILIARES</t>
  </si>
  <si>
    <t>EXPERIENCIA EN B.C.</t>
  </si>
  <si>
    <t>EMPLEO 1 A 3 AÑOS</t>
  </si>
  <si>
    <t>ASALARIADO</t>
  </si>
  <si>
    <t>AUTOEMPLEADO</t>
  </si>
  <si>
    <t>DEPENDIENTES 1 A 2</t>
  </si>
  <si>
    <t xml:space="preserve">DEPENDIENTES 3 A 5 </t>
  </si>
  <si>
    <t>MAS DE 5 DEPENDIENTES</t>
  </si>
  <si>
    <t>CON SERVICIOS</t>
  </si>
  <si>
    <t>SIN SERVICIOS</t>
  </si>
  <si>
    <t>SIN EXPERIENCIA EN B.C.</t>
  </si>
  <si>
    <t>SIN ATRASO ACTUAL</t>
  </si>
  <si>
    <t>CON ATRASO ACTUAL</t>
  </si>
  <si>
    <t>CSC</t>
  </si>
  <si>
    <t>18 A 24 AÑOS EDAD</t>
  </si>
  <si>
    <t>46 A 65 AÑOS EDAD</t>
  </si>
  <si>
    <t>EMPLEO 4 O MAS</t>
  </si>
  <si>
    <t>25 A 34 AÑOS EDAD</t>
  </si>
  <si>
    <t>35 A 45 AÑOS DE EDAD</t>
  </si>
  <si>
    <t>CASA</t>
  </si>
  <si>
    <t>PAGANDOLO (INFONAVIT-FONAPO-FOVISTE ETC)</t>
  </si>
  <si>
    <t>ARRAIGO EN DOMICILIO -1 AÑO</t>
  </si>
  <si>
    <t>ARRAIGO DOMICILIO 1 A 3 AÑOS</t>
  </si>
  <si>
    <t>ARRAIGO DOMICILIO 4 AÑOS O MAS</t>
  </si>
  <si>
    <t>Total</t>
  </si>
  <si>
    <t>72 - 63</t>
  </si>
  <si>
    <t>62 - 56</t>
  </si>
  <si>
    <t>55 - (3)</t>
  </si>
  <si>
    <t>62 - 53</t>
  </si>
  <si>
    <t>52 - 46</t>
  </si>
  <si>
    <t>45 - (13)</t>
  </si>
  <si>
    <t>CLIENTE</t>
  </si>
  <si>
    <t># Solicitud</t>
  </si>
  <si>
    <t>Cliente</t>
  </si>
  <si>
    <t>Autorizacion Cualitativa Segura</t>
  </si>
  <si>
    <t>Autorizacion Cualitativa Aceptable</t>
  </si>
  <si>
    <t>Autorizacion Condicionada Instancia Mayor</t>
  </si>
  <si>
    <t>Rechazo Automatico</t>
  </si>
  <si>
    <t>ATP MAYOR A PAGO MENSUAL</t>
  </si>
  <si>
    <t>ATP IGUAL A PAGO MENSUAL</t>
  </si>
  <si>
    <t>ATP MENOR A PAGO MENSUAL</t>
  </si>
  <si>
    <t>Autorizado, Capacidad de Pago Viable</t>
  </si>
  <si>
    <t>Pago Mensual La Feria</t>
  </si>
  <si>
    <t>RPP Remanente Por Persona</t>
  </si>
  <si>
    <t>AUTORIZADO RPP. MAYOR AL ESTABLECIDO</t>
  </si>
  <si>
    <t>RECHAZADO RPP MENOR AL ESTABLECIDO</t>
  </si>
  <si>
    <t>Puntos Maximo</t>
  </si>
  <si>
    <t>Importancia</t>
  </si>
  <si>
    <t>del 1 a 4</t>
  </si>
  <si>
    <t>Puntos</t>
  </si>
  <si>
    <t>Posibles</t>
  </si>
  <si>
    <t xml:space="preserve">Puntaje </t>
  </si>
  <si>
    <t>RPP REMANENTE POR PERSONA</t>
  </si>
  <si>
    <t>MUJERES</t>
  </si>
  <si>
    <t>HOMBRES</t>
  </si>
  <si>
    <t>PUNTAJE</t>
  </si>
  <si>
    <t>CRITERIO DE DECISION</t>
  </si>
  <si>
    <t>RPP MINIMO</t>
  </si>
  <si>
    <t>TITULAR MAS DEPENDIENTES</t>
  </si>
  <si>
    <t>INSTRUCCIONES</t>
  </si>
  <si>
    <t>CELDAS DE ESTE COLOR</t>
  </si>
  <si>
    <t>OBTIENE DE LA SOLICITUD</t>
  </si>
  <si>
    <t>SON INGRESOS</t>
  </si>
  <si>
    <t>SON EGRESOS</t>
  </si>
  <si>
    <t>EL VALOR SOLO PUEDE SER 1</t>
  </si>
  <si>
    <t xml:space="preserve">INFORMACION QUE SE DETERMINA </t>
  </si>
  <si>
    <t>AL MOMENTO DE CAPTURAR.</t>
  </si>
  <si>
    <t>Datos</t>
  </si>
  <si>
    <t>CREDITO NUEVO</t>
  </si>
  <si>
    <t>1 RENOVACION DE CREDITO (RECOMPRA)</t>
  </si>
  <si>
    <t>2 O MAS RENOVACION DE CREDITO (RECOMPRA)</t>
  </si>
  <si>
    <t>135 - 73</t>
  </si>
  <si>
    <t>125 - 63</t>
  </si>
  <si>
    <t>DE DEPENDIENTES MAS UNO, EL VALOR</t>
  </si>
  <si>
    <t>SPARI SISTEMA PARAMETRIZADO DE ANALISIS DE RIESGO</t>
  </si>
  <si>
    <t>CREDITO NUEVO, 1 RENOVACION, 2 O MAS RENOVACION</t>
  </si>
  <si>
    <t>CAPTURA DE INFORMACION SPARI</t>
  </si>
  <si>
    <t>CELDAS DE ESTE COLOR, SU VALOR ES</t>
  </si>
  <si>
    <t>EN DINERO, LA INFORMACION SE</t>
  </si>
  <si>
    <t>NOMBRE Y FIRMA RESPONSABLE DE LA CAPTURA</t>
  </si>
  <si>
    <t>IMPRIMIR Y ANEXAR A LA SOLICITUD, ARCHIVAR JUNTO AL EXPEDIENTE DE CREDITO.</t>
  </si>
  <si>
    <t>Autorización Cualitativa Aceptable</t>
  </si>
  <si>
    <t>Autorización Cualitativa Aun Viable</t>
  </si>
  <si>
    <t>Autorización Cualitativa Condicionada Instancia Mayor</t>
  </si>
  <si>
    <t>Rechazo Automático</t>
  </si>
  <si>
    <t>Autorización Condicionada a Instancia Mayor</t>
  </si>
  <si>
    <t>MINIMO ES 1, (EL TITULAR).</t>
  </si>
  <si>
    <t>PROPIETARIO</t>
  </si>
  <si>
    <t xml:space="preserve">CELDA DE ESTE COLOR, ES EL NUMERO </t>
  </si>
  <si>
    <t xml:space="preserve">RPP $200 MINIMO X DEPEND. + SOLICITANTE </t>
  </si>
  <si>
    <t>PAGO MENSUAL SMART QUO</t>
  </si>
  <si>
    <t>IMPORTE DEL CRÉDITO</t>
  </si>
  <si>
    <t>IMPORTE DEL PAGO MENSUAL</t>
  </si>
  <si>
    <t>PLAZO</t>
  </si>
  <si>
    <t>ASESOR:</t>
  </si>
  <si>
    <t>DATOS PERSONALES</t>
  </si>
  <si>
    <t>REGISTRO FEDERAL DE CONTIBUYENTES</t>
  </si>
  <si>
    <t>CLAVE UNICA DE REGISTRO DE POBLACIÓN</t>
  </si>
  <si>
    <t>APELLIDO PATERNO</t>
  </si>
  <si>
    <t>APELLIDO MATERNO</t>
  </si>
  <si>
    <t>NOMBRE</t>
  </si>
  <si>
    <t>NUMERO DE SEGURO SOCIAL</t>
  </si>
  <si>
    <t>DOMICILIO PARTICULAR (NUMERO INTERIOR Y EXTERIOR)</t>
  </si>
  <si>
    <t>COLONIA</t>
  </si>
  <si>
    <t>DELEGACION O CIUDAD Y ESTADO</t>
  </si>
  <si>
    <t>CODIGO POSTAL</t>
  </si>
  <si>
    <t>CORREO ELECTRONICO</t>
  </si>
  <si>
    <t>TELEFONO PARTICULAR</t>
  </si>
  <si>
    <t>ACTIVIDAD ACTUAL</t>
  </si>
  <si>
    <t>TELEFONO DE OFICINA</t>
  </si>
  <si>
    <t>AREA O ACTIVIDAD QUE REALIZA</t>
  </si>
  <si>
    <t>INGRESO MENSUAL NETO</t>
  </si>
  <si>
    <t>SUMANDO SUELDOS, COMPENSACIONES, BONOS Y OTRAS PRESTACIONES</t>
  </si>
  <si>
    <t>OTROS INGRESOS NETOS DEL SOLICITANTE</t>
  </si>
  <si>
    <t>2.- POR ACTIVIDADES INDUSTRIAL Y/O COMERCIAL</t>
  </si>
  <si>
    <t>(ESPECIFIQUE NOMBRE O RAZON SOCIAL Y TIPO DE NEGOCIO)</t>
  </si>
  <si>
    <t>4.- POR VENTA DE AUTOMOVILES, CASA, TERRENOS, OBRAS DE ARTE, ETC.</t>
  </si>
  <si>
    <t>5.- POR ACTIVIDAD FINANCIERA</t>
  </si>
  <si>
    <t xml:space="preserve">INTERESES GENERADOS POR PAGARES, CUENTAS DE AHORRO, FONDOS Y UTILIDADES O DIVIDENDOS POR ACCIONES. </t>
  </si>
  <si>
    <t>6.- OTROS</t>
  </si>
  <si>
    <t>ARRENDAMIENTOS, REGALÍAS, SORTEOS, CONCURSOS, DONACIONES, PRETAMOS, ETC.</t>
  </si>
  <si>
    <t>7.- INGRESO DEL CONYUGE Y/O DEPENDIENTES ECONÓMICOS</t>
  </si>
  <si>
    <t>TOTAL DE INGRESOS</t>
  </si>
  <si>
    <t>1.- REMUNERACION MENSUAL NETA</t>
  </si>
  <si>
    <t>APLICACIÓN DE LOS INGRESOS</t>
  </si>
  <si>
    <t>7.- OTROS</t>
  </si>
  <si>
    <t>3.- POR SERVICIOS PROFESIONALES, HONORARIOS, PARTICIPACION EN CONSEJOS, CONSULTORIAS ASESORIAS</t>
  </si>
  <si>
    <t>TOTAL DE GASTOS</t>
  </si>
  <si>
    <t>UTILIDAD</t>
  </si>
  <si>
    <t xml:space="preserve">INGRESO NETO MENOS PAGO </t>
  </si>
  <si>
    <t>CP</t>
  </si>
  <si>
    <t>1.- CREDITO HIPOTECARIO</t>
  </si>
  <si>
    <t>PAGO MENSUAL</t>
  </si>
  <si>
    <t>2.- CREDITO AUTOMOTRIZ</t>
  </si>
  <si>
    <t>3.- CREDITOS PERSONALES</t>
  </si>
  <si>
    <t>4.- TARJETAS DE CREDITO</t>
  </si>
  <si>
    <t>5.- TELECOMUNICACIONES</t>
  </si>
  <si>
    <t>COMPROMISOS DE PAGO</t>
  </si>
  <si>
    <t>NIVEL DE ENDEUDAMIENTO</t>
  </si>
  <si>
    <t>NE</t>
  </si>
  <si>
    <t>UNIDAD  HABITACIONAL/ ASENTAMIENTO RURAL</t>
  </si>
  <si>
    <t>ESTADO CIVIL</t>
  </si>
  <si>
    <t>TIPO DE UNIDAD</t>
  </si>
  <si>
    <t>1 RENOVACION DE CREDITO</t>
  </si>
  <si>
    <t>2 O MAS RENOVACION DE CREDITO</t>
  </si>
  <si>
    <t>EXPERIENCIA EN SOCIEDADES DE INFOMACION CREDITICIA</t>
  </si>
  <si>
    <t>SIN HISTORIAL</t>
  </si>
  <si>
    <t>EMPLEO</t>
  </si>
  <si>
    <t>EMPLEO MINIMO 6 MESES</t>
  </si>
  <si>
    <t>DEPENDIENTES</t>
  </si>
  <si>
    <t>Número de solicitud:</t>
  </si>
  <si>
    <t>0000</t>
  </si>
  <si>
    <t>NOMBRE Y FIRMA REVISADO MC</t>
  </si>
  <si>
    <t>NOMBRE Y FIRMA REVISADO GTE/COORD.</t>
  </si>
  <si>
    <t>________________________________________________________________</t>
  </si>
  <si>
    <t xml:space="preserve">                                     NOMBRE Y FIRMA CLIENTE</t>
  </si>
  <si>
    <t>MONTO DE CRÉDITO APROBADO</t>
  </si>
  <si>
    <t>PAGO MENSUAL SMART</t>
  </si>
  <si>
    <t>INGRESO NETO CLIENTE</t>
  </si>
  <si>
    <t>25% DEL INGRESO NETO CLIENTE</t>
  </si>
  <si>
    <t>PLAZO DEL CRÉDITO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</si>
</sst>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44" formatCode="_-&quot;$&quot;* #,##0.00_-;\-&quot;$&quot;* #,##0.00_-;_-&quot;$&quot;* &quot;-&quot;??_-;_-@_-"/>
    <numFmt numFmtId="43" formatCode="_-* #,##0.00_-;\-* #,##0.00_-;_-* &quot;-&quot;??_-;_-@_-"/>
    <numFmt numFmtId="164" formatCode="[$$-80A]#,##0"/>
    <numFmt numFmtId="165" formatCode="&quot;$&quot;#,##0"/>
    <numFmt numFmtId="166" formatCode="[$$-80A]#,##0.00"/>
    <numFmt numFmtId="167" formatCode="_-[$$-80A]* #,##0.00_-;\-[$$-80A]* #,##0.00_-;_-[$$-80A]* &quot;-&quot;??_-;_-@_-"/>
  </numFmts>
  <fonts count="57" x14ac:knownFonts="1">
    <font>
      <sz val="11"/>
      <color rgb="FF000000"/>
      <name val="Calibri"/>
      <family val="2"/>
      <charset val="1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color rgb="FF000000"/>
      <name val="Calibri"/>
      <family val="2"/>
      <charset val="1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24"/>
      <color rgb="FF7030A0"/>
      <name val="Calibri"/>
      <family val="2"/>
    </font>
    <font>
      <b/>
      <sz val="11"/>
      <color rgb="FF000000"/>
      <name val="Calibri"/>
      <family val="2"/>
    </font>
    <font>
      <b/>
      <sz val="10"/>
      <color rgb="FF000000"/>
      <name val="Calibri"/>
      <family val="2"/>
    </font>
    <font>
      <b/>
      <sz val="14"/>
      <color theme="0"/>
      <name val="Calibri"/>
      <family val="2"/>
    </font>
    <font>
      <b/>
      <sz val="10"/>
      <color rgb="FF7030A0"/>
      <name val="Calibri"/>
      <family val="2"/>
    </font>
    <font>
      <b/>
      <sz val="10"/>
      <name val="Calibri"/>
      <family val="2"/>
    </font>
    <font>
      <sz val="11"/>
      <name val="Calibri"/>
      <family val="2"/>
      <charset val="1"/>
    </font>
    <font>
      <b/>
      <i/>
      <sz val="26"/>
      <name val="Calibri"/>
      <family val="2"/>
      <charset val="1"/>
    </font>
    <font>
      <b/>
      <sz val="11"/>
      <name val="Calibri"/>
      <family val="2"/>
      <charset val="1"/>
    </font>
    <font>
      <b/>
      <sz val="14"/>
      <name val="Calibri"/>
      <family val="2"/>
      <charset val="1"/>
    </font>
    <font>
      <b/>
      <sz val="20"/>
      <name val="Calibri"/>
      <family val="2"/>
      <charset val="1"/>
    </font>
    <font>
      <b/>
      <sz val="8"/>
      <name val="Calibri"/>
      <family val="2"/>
      <charset val="1"/>
    </font>
    <font>
      <b/>
      <sz val="12"/>
      <name val="Calibri"/>
      <family val="2"/>
      <charset val="1"/>
    </font>
    <font>
      <b/>
      <sz val="10"/>
      <name val="Calibri"/>
      <family val="2"/>
      <charset val="1"/>
    </font>
    <font>
      <b/>
      <sz val="14"/>
      <color theme="1"/>
      <name val="Calibri"/>
      <family val="2"/>
    </font>
    <font>
      <b/>
      <sz val="14"/>
      <name val="Calibri"/>
      <family val="2"/>
    </font>
    <font>
      <b/>
      <sz val="14"/>
      <color rgb="FF000000"/>
      <name val="Calibri"/>
      <family val="2"/>
    </font>
    <font>
      <b/>
      <sz val="26"/>
      <name val="Calibri"/>
      <family val="2"/>
    </font>
    <font>
      <b/>
      <sz val="16"/>
      <color rgb="FF000000"/>
      <name val="Calibri"/>
      <family val="2"/>
    </font>
    <font>
      <b/>
      <sz val="20"/>
      <name val="Calibri"/>
      <family val="2"/>
    </font>
    <font>
      <b/>
      <sz val="18"/>
      <name val="Calibri"/>
      <family val="2"/>
      <charset val="1"/>
    </font>
    <font>
      <b/>
      <sz val="11"/>
      <name val="Calibri"/>
      <family val="2"/>
    </font>
    <font>
      <b/>
      <i/>
      <sz val="11"/>
      <name val="Calibri"/>
      <family val="2"/>
    </font>
    <font>
      <b/>
      <u/>
      <sz val="48"/>
      <color rgb="FF002060"/>
      <name val="Calibri"/>
      <family val="2"/>
    </font>
    <font>
      <b/>
      <i/>
      <sz val="12"/>
      <color rgb="FF000000"/>
      <name val="Times New Roman"/>
      <family val="1"/>
    </font>
    <font>
      <sz val="12"/>
      <color rgb="FF000000"/>
      <name val="Times New Roman"/>
      <family val="1"/>
    </font>
    <font>
      <sz val="12"/>
      <color rgb="FF000000"/>
      <name val="Calibri"/>
      <family val="2"/>
    </font>
    <font>
      <sz val="12"/>
      <color rgb="FF000000"/>
      <name val="Calibri"/>
      <family val="2"/>
      <charset val="1"/>
    </font>
    <font>
      <b/>
      <i/>
      <sz val="12"/>
      <color rgb="FF000000"/>
      <name val="Calibri"/>
      <family val="2"/>
    </font>
    <font>
      <b/>
      <sz val="12"/>
      <color rgb="FF000000"/>
      <name val="Calibri"/>
      <family val="2"/>
    </font>
    <font>
      <sz val="8"/>
      <color rgb="FF000000"/>
      <name val="Calibri"/>
      <family val="2"/>
      <charset val="1"/>
    </font>
    <font>
      <b/>
      <sz val="24"/>
      <name val="Calibri"/>
      <family val="2"/>
    </font>
    <font>
      <sz val="12"/>
      <name val="Calibri"/>
      <family val="2"/>
      <charset val="1"/>
    </font>
    <font>
      <b/>
      <sz val="18"/>
      <name val="Calibri"/>
      <family val="2"/>
    </font>
    <font>
      <u/>
      <sz val="11"/>
      <color theme="10"/>
      <name val="Calibri"/>
      <family val="2"/>
      <charset val="1"/>
    </font>
    <font>
      <b/>
      <i/>
      <u/>
      <sz val="15"/>
      <name val="Calibri"/>
      <family val="2"/>
    </font>
    <font>
      <b/>
      <sz val="13"/>
      <name val="Calibri"/>
      <family val="2"/>
    </font>
  </fonts>
  <fills count="4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000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0"/>
        <bgColor indexed="64"/>
      </patternFill>
    </fill>
  </fills>
  <borders count="68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 style="double">
        <color auto="1"/>
      </top>
      <bottom style="double">
        <color auto="1"/>
      </bottom>
      <diagonal/>
    </border>
    <border>
      <left style="double">
        <color auto="1"/>
      </left>
      <right/>
      <top style="double">
        <color auto="1"/>
      </top>
      <bottom/>
      <diagonal/>
    </border>
    <border>
      <left/>
      <right/>
      <top style="double">
        <color auto="1"/>
      </top>
      <bottom/>
      <diagonal/>
    </border>
    <border>
      <left/>
      <right style="double">
        <color auto="1"/>
      </right>
      <top style="double">
        <color auto="1"/>
      </top>
      <bottom/>
      <diagonal/>
    </border>
    <border>
      <left style="double">
        <color auto="1"/>
      </left>
      <right/>
      <top/>
      <bottom/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/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/>
      <right style="double">
        <color auto="1"/>
      </right>
      <top/>
      <bottom style="double">
        <color auto="1"/>
      </bottom>
      <diagonal/>
    </border>
    <border>
      <left style="double">
        <color auto="1"/>
      </left>
      <right/>
      <top style="double">
        <color auto="1"/>
      </top>
      <bottom style="double">
        <color auto="1"/>
      </bottom>
      <diagonal/>
    </border>
    <border>
      <left/>
      <right/>
      <top style="double">
        <color auto="1"/>
      </top>
      <bottom style="double">
        <color auto="1"/>
      </bottom>
      <diagonal/>
    </border>
    <border>
      <left/>
      <right style="double">
        <color auto="1"/>
      </right>
      <top style="double">
        <color auto="1"/>
      </top>
      <bottom style="double">
        <color auto="1"/>
      </bottom>
      <diagonal/>
    </border>
    <border>
      <left style="double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double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double">
        <color auto="1"/>
      </bottom>
      <diagonal/>
    </border>
    <border>
      <left style="double">
        <color auto="1"/>
      </left>
      <right style="double">
        <color auto="1"/>
      </right>
      <top style="double">
        <color auto="1"/>
      </top>
      <bottom/>
      <diagonal/>
    </border>
    <border>
      <left style="double">
        <color auto="1"/>
      </left>
      <right style="double">
        <color auto="1"/>
      </right>
      <top/>
      <bottom/>
      <diagonal/>
    </border>
    <border>
      <left style="double">
        <color auto="1"/>
      </left>
      <right style="double">
        <color auto="1"/>
      </right>
      <top/>
      <bottom style="double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double">
        <color auto="1"/>
      </left>
      <right style="double">
        <color auto="1"/>
      </right>
      <top style="double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double">
        <color auto="1"/>
      </bottom>
      <diagonal/>
    </border>
    <border>
      <left style="double">
        <color theme="0"/>
      </left>
      <right/>
      <top style="double">
        <color theme="0"/>
      </top>
      <bottom/>
      <diagonal/>
    </border>
    <border>
      <left/>
      <right/>
      <top style="double">
        <color theme="0"/>
      </top>
      <bottom/>
      <diagonal/>
    </border>
    <border>
      <left style="double">
        <color theme="0"/>
      </left>
      <right/>
      <top/>
      <bottom/>
      <diagonal/>
    </border>
    <border>
      <left style="double">
        <color theme="0"/>
      </left>
      <right/>
      <top/>
      <bottom style="double">
        <color theme="0"/>
      </bottom>
      <diagonal/>
    </border>
    <border>
      <left/>
      <right/>
      <top/>
      <bottom style="double">
        <color theme="0"/>
      </bottom>
      <diagonal/>
    </border>
    <border>
      <left style="thin">
        <color auto="1"/>
      </left>
      <right style="double">
        <color auto="1"/>
      </right>
      <top style="double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double">
        <color auto="1"/>
      </top>
      <bottom style="thin">
        <color auto="1"/>
      </bottom>
      <diagonal/>
    </border>
    <border>
      <left/>
      <right style="double">
        <color auto="1"/>
      </right>
      <top style="double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double">
        <color auto="1"/>
      </bottom>
      <diagonal/>
    </border>
    <border>
      <left/>
      <right style="double">
        <color auto="1"/>
      </right>
      <top style="thin">
        <color auto="1"/>
      </top>
      <bottom style="double">
        <color auto="1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/>
      <top style="double">
        <color auto="1"/>
      </top>
      <bottom style="thin">
        <color auto="1"/>
      </bottom>
      <diagonal/>
    </border>
    <border>
      <left/>
      <right/>
      <top style="thin">
        <color auto="1"/>
      </top>
      <bottom style="double">
        <color auto="1"/>
      </bottom>
      <diagonal/>
    </border>
    <border>
      <left/>
      <right/>
      <top style="medium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double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</borders>
  <cellStyleXfs count="68">
    <xf numFmtId="0" fontId="0" fillId="0" borderId="0"/>
    <xf numFmtId="43" fontId="2" fillId="0" borderId="0" applyBorder="0" applyAlignment="0" applyProtection="0"/>
    <xf numFmtId="0" fontId="4" fillId="0" borderId="0" applyNumberFormat="0" applyFill="0" applyBorder="0" applyAlignment="0" applyProtection="0"/>
    <xf numFmtId="0" fontId="5" fillId="0" borderId="1" applyNumberFormat="0" applyFill="0" applyAlignment="0" applyProtection="0"/>
    <xf numFmtId="0" fontId="6" fillId="0" borderId="2" applyNumberFormat="0" applyFill="0" applyAlignment="0" applyProtection="0"/>
    <xf numFmtId="0" fontId="7" fillId="0" borderId="3" applyNumberFormat="0" applyFill="0" applyAlignment="0" applyProtection="0"/>
    <xf numFmtId="0" fontId="7" fillId="0" borderId="0" applyNumberFormat="0" applyFill="0" applyBorder="0" applyAlignment="0" applyProtection="0"/>
    <xf numFmtId="0" fontId="8" fillId="2" borderId="0" applyNumberFormat="0" applyBorder="0" applyAlignment="0" applyProtection="0"/>
    <xf numFmtId="0" fontId="9" fillId="3" borderId="0" applyNumberFormat="0" applyBorder="0" applyAlignment="0" applyProtection="0"/>
    <xf numFmtId="0" fontId="10" fillId="4" borderId="0" applyNumberFormat="0" applyBorder="0" applyAlignment="0" applyProtection="0"/>
    <xf numFmtId="0" fontId="11" fillId="5" borderId="4" applyNumberFormat="0" applyAlignment="0" applyProtection="0"/>
    <xf numFmtId="0" fontId="12" fillId="6" borderId="5" applyNumberFormat="0" applyAlignment="0" applyProtection="0"/>
    <xf numFmtId="0" fontId="13" fillId="6" borderId="4" applyNumberFormat="0" applyAlignment="0" applyProtection="0"/>
    <xf numFmtId="0" fontId="14" fillId="0" borderId="6" applyNumberFormat="0" applyFill="0" applyAlignment="0" applyProtection="0"/>
    <xf numFmtId="0" fontId="15" fillId="7" borderId="7" applyNumberFormat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9" applyNumberFormat="0" applyFill="0" applyAlignment="0" applyProtection="0"/>
    <xf numFmtId="0" fontId="19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9" fillId="12" borderId="0" applyNumberFormat="0" applyBorder="0" applyAlignment="0" applyProtection="0"/>
    <xf numFmtId="0" fontId="19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9" fillId="16" borderId="0" applyNumberFormat="0" applyBorder="0" applyAlignment="0" applyProtection="0"/>
    <xf numFmtId="0" fontId="19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9" fillId="20" borderId="0" applyNumberFormat="0" applyBorder="0" applyAlignment="0" applyProtection="0"/>
    <xf numFmtId="0" fontId="19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9" fillId="24" borderId="0" applyNumberFormat="0" applyBorder="0" applyAlignment="0" applyProtection="0"/>
    <xf numFmtId="0" fontId="19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9" fillId="28" borderId="0" applyNumberFormat="0" applyBorder="0" applyAlignment="0" applyProtection="0"/>
    <xf numFmtId="0" fontId="19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9" fillId="32" borderId="0" applyNumberFormat="0" applyBorder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0" borderId="0"/>
    <xf numFmtId="0" fontId="1" fillId="0" borderId="0"/>
    <xf numFmtId="43" fontId="2" fillId="0" borderId="0" applyBorder="0" applyAlignment="0" applyProtection="0"/>
    <xf numFmtId="0" fontId="3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44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54" fillId="0" borderId="0" applyNumberFormat="0" applyFill="0" applyBorder="0" applyAlignment="0" applyProtection="0"/>
  </cellStyleXfs>
  <cellXfs count="280">
    <xf numFmtId="0" fontId="0" fillId="0" borderId="0" xfId="0"/>
    <xf numFmtId="0" fontId="0" fillId="34" borderId="0" xfId="0" applyFill="1"/>
    <xf numFmtId="0" fontId="26" fillId="0" borderId="0" xfId="0" applyFont="1" applyFill="1"/>
    <xf numFmtId="0" fontId="26" fillId="0" borderId="40" xfId="0" applyFont="1" applyFill="1" applyBorder="1"/>
    <xf numFmtId="0" fontId="26" fillId="0" borderId="41" xfId="0" applyFont="1" applyFill="1" applyBorder="1"/>
    <xf numFmtId="0" fontId="26" fillId="0" borderId="41" xfId="0" applyFont="1" applyFill="1" applyBorder="1" applyAlignment="1">
      <alignment horizontal="center"/>
    </xf>
    <xf numFmtId="164" fontId="26" fillId="0" borderId="41" xfId="0" applyNumberFormat="1" applyFont="1" applyFill="1" applyBorder="1" applyAlignment="1">
      <alignment horizontal="right"/>
    </xf>
    <xf numFmtId="0" fontId="26" fillId="0" borderId="42" xfId="0" applyFont="1" applyFill="1" applyBorder="1"/>
    <xf numFmtId="164" fontId="26" fillId="0" borderId="0" xfId="0" applyNumberFormat="1" applyFont="1" applyFill="1" applyBorder="1" applyAlignment="1">
      <alignment horizontal="right"/>
    </xf>
    <xf numFmtId="0" fontId="26" fillId="0" borderId="0" xfId="0" applyFont="1" applyFill="1" applyBorder="1"/>
    <xf numFmtId="0" fontId="26" fillId="0" borderId="43" xfId="0" applyFont="1" applyFill="1" applyBorder="1"/>
    <xf numFmtId="0" fontId="26" fillId="0" borderId="44" xfId="0" applyFont="1" applyFill="1" applyBorder="1"/>
    <xf numFmtId="0" fontId="29" fillId="0" borderId="0" xfId="0" applyFont="1" applyFill="1" applyBorder="1"/>
    <xf numFmtId="0" fontId="33" fillId="0" borderId="0" xfId="0" applyFont="1" applyFill="1" applyBorder="1" applyAlignment="1">
      <alignment horizontal="right"/>
    </xf>
    <xf numFmtId="164" fontId="33" fillId="0" borderId="0" xfId="0" applyNumberFormat="1" applyFont="1" applyFill="1" applyBorder="1" applyAlignment="1">
      <alignment horizontal="center"/>
    </xf>
    <xf numFmtId="0" fontId="26" fillId="0" borderId="0" xfId="0" applyFont="1" applyFill="1" applyAlignment="1">
      <alignment horizontal="center"/>
    </xf>
    <xf numFmtId="164" fontId="26" fillId="0" borderId="0" xfId="0" applyNumberFormat="1" applyFont="1" applyFill="1" applyAlignment="1">
      <alignment horizontal="right"/>
    </xf>
    <xf numFmtId="0" fontId="31" fillId="0" borderId="0" xfId="0" applyFont="1" applyFill="1" applyBorder="1"/>
    <xf numFmtId="0" fontId="32" fillId="0" borderId="0" xfId="0" applyFont="1" applyFill="1" applyBorder="1" applyAlignment="1">
      <alignment horizontal="center"/>
    </xf>
    <xf numFmtId="0" fontId="35" fillId="36" borderId="14" xfId="0" applyFont="1" applyFill="1" applyBorder="1" applyAlignment="1">
      <alignment horizontal="center"/>
    </xf>
    <xf numFmtId="0" fontId="35" fillId="37" borderId="14" xfId="0" applyFont="1" applyFill="1" applyBorder="1" applyAlignment="1">
      <alignment horizontal="center"/>
    </xf>
    <xf numFmtId="0" fontId="35" fillId="35" borderId="14" xfId="0" applyFont="1" applyFill="1" applyBorder="1" applyAlignment="1">
      <alignment horizontal="center"/>
    </xf>
    <xf numFmtId="0" fontId="35" fillId="33" borderId="14" xfId="0" applyFont="1" applyFill="1" applyBorder="1" applyAlignment="1">
      <alignment horizontal="center"/>
    </xf>
    <xf numFmtId="0" fontId="36" fillId="40" borderId="0" xfId="0" applyFont="1" applyFill="1"/>
    <xf numFmtId="0" fontId="23" fillId="40" borderId="0" xfId="0" applyFont="1" applyFill="1"/>
    <xf numFmtId="0" fontId="23" fillId="40" borderId="0" xfId="0" applyFont="1" applyFill="1" applyAlignment="1">
      <alignment horizontal="center"/>
    </xf>
    <xf numFmtId="164" fontId="23" fillId="40" borderId="0" xfId="0" applyNumberFormat="1" applyFont="1" applyFill="1" applyAlignment="1">
      <alignment horizontal="right"/>
    </xf>
    <xf numFmtId="164" fontId="23" fillId="41" borderId="34" xfId="0" applyNumberFormat="1" applyFont="1" applyFill="1" applyBorder="1" applyAlignment="1">
      <alignment horizontal="center"/>
    </xf>
    <xf numFmtId="0" fontId="23" fillId="39" borderId="15" xfId="0" applyFont="1" applyFill="1" applyBorder="1"/>
    <xf numFmtId="0" fontId="23" fillId="39" borderId="45" xfId="0" applyFont="1" applyFill="1" applyBorder="1" applyAlignment="1">
      <alignment horizontal="center"/>
    </xf>
    <xf numFmtId="0" fontId="23" fillId="41" borderId="18" xfId="0" applyFont="1" applyFill="1" applyBorder="1"/>
    <xf numFmtId="164" fontId="23" fillId="41" borderId="35" xfId="0" applyNumberFormat="1" applyFont="1" applyFill="1" applyBorder="1" applyAlignment="1">
      <alignment horizontal="center"/>
    </xf>
    <xf numFmtId="0" fontId="23" fillId="39" borderId="18" xfId="0" applyFont="1" applyFill="1" applyBorder="1"/>
    <xf numFmtId="0" fontId="23" fillId="39" borderId="37" xfId="0" applyFont="1" applyFill="1" applyBorder="1" applyAlignment="1">
      <alignment horizontal="center"/>
    </xf>
    <xf numFmtId="0" fontId="23" fillId="41" borderId="20" xfId="0" applyFont="1" applyFill="1" applyBorder="1"/>
    <xf numFmtId="164" fontId="23" fillId="41" borderId="36" xfId="0" applyNumberFormat="1" applyFont="1" applyFill="1" applyBorder="1" applyAlignment="1">
      <alignment horizontal="center"/>
    </xf>
    <xf numFmtId="0" fontId="23" fillId="43" borderId="15" xfId="0" applyFont="1" applyFill="1" applyBorder="1"/>
    <xf numFmtId="0" fontId="23" fillId="43" borderId="17" xfId="0" applyFont="1" applyFill="1" applyBorder="1"/>
    <xf numFmtId="0" fontId="23" fillId="43" borderId="18" xfId="0" applyFont="1" applyFill="1" applyBorder="1"/>
    <xf numFmtId="0" fontId="23" fillId="43" borderId="19" xfId="0" applyFont="1" applyFill="1" applyBorder="1"/>
    <xf numFmtId="0" fontId="23" fillId="43" borderId="20" xfId="0" applyFont="1" applyFill="1" applyBorder="1"/>
    <xf numFmtId="0" fontId="23" fillId="43" borderId="22" xfId="0" applyFont="1" applyFill="1" applyBorder="1"/>
    <xf numFmtId="0" fontId="23" fillId="42" borderId="15" xfId="0" applyFont="1" applyFill="1" applyBorder="1"/>
    <xf numFmtId="0" fontId="23" fillId="42" borderId="17" xfId="0" applyFont="1" applyFill="1" applyBorder="1"/>
    <xf numFmtId="0" fontId="23" fillId="42" borderId="20" xfId="0" applyFont="1" applyFill="1" applyBorder="1"/>
    <xf numFmtId="0" fontId="23" fillId="42" borderId="22" xfId="0" applyFont="1" applyFill="1" applyBorder="1"/>
    <xf numFmtId="0" fontId="34" fillId="39" borderId="34" xfId="0" applyFont="1" applyFill="1" applyBorder="1"/>
    <xf numFmtId="0" fontId="34" fillId="39" borderId="19" xfId="0" applyFont="1" applyFill="1" applyBorder="1" applyAlignment="1">
      <alignment horizontal="center"/>
    </xf>
    <xf numFmtId="0" fontId="34" fillId="39" borderId="35" xfId="0" applyFont="1" applyFill="1" applyBorder="1"/>
    <xf numFmtId="0" fontId="34" fillId="39" borderId="36" xfId="0" applyFont="1" applyFill="1" applyBorder="1"/>
    <xf numFmtId="0" fontId="23" fillId="44" borderId="0" xfId="0" applyFont="1" applyFill="1"/>
    <xf numFmtId="0" fontId="36" fillId="44" borderId="0" xfId="0" applyFont="1" applyFill="1"/>
    <xf numFmtId="0" fontId="23" fillId="44" borderId="0" xfId="0" applyFont="1" applyFill="1" applyAlignment="1">
      <alignment horizontal="center"/>
    </xf>
    <xf numFmtId="164" fontId="23" fillId="44" borderId="0" xfId="0" applyNumberFormat="1" applyFont="1" applyFill="1" applyAlignment="1">
      <alignment horizontal="right"/>
    </xf>
    <xf numFmtId="164" fontId="23" fillId="44" borderId="0" xfId="0" applyNumberFormat="1" applyFont="1" applyFill="1" applyAlignment="1">
      <alignment horizontal="center"/>
    </xf>
    <xf numFmtId="0" fontId="23" fillId="44" borderId="0" xfId="0" applyFont="1" applyFill="1" applyBorder="1"/>
    <xf numFmtId="0" fontId="23" fillId="44" borderId="0" xfId="0" applyFont="1" applyFill="1" applyBorder="1" applyAlignment="1">
      <alignment horizontal="center"/>
    </xf>
    <xf numFmtId="164" fontId="23" fillId="44" borderId="0" xfId="0" applyNumberFormat="1" applyFont="1" applyFill="1" applyBorder="1" applyAlignment="1">
      <alignment horizontal="right"/>
    </xf>
    <xf numFmtId="164" fontId="23" fillId="44" borderId="0" xfId="0" applyNumberFormat="1" applyFont="1" applyFill="1" applyBorder="1" applyAlignment="1">
      <alignment horizontal="center"/>
    </xf>
    <xf numFmtId="0" fontId="23" fillId="44" borderId="18" xfId="0" applyFont="1" applyFill="1" applyBorder="1"/>
    <xf numFmtId="164" fontId="23" fillId="44" borderId="19" xfId="0" applyNumberFormat="1" applyFont="1" applyFill="1" applyBorder="1" applyAlignment="1">
      <alignment horizontal="right"/>
    </xf>
    <xf numFmtId="0" fontId="34" fillId="39" borderId="17" xfId="0" applyFont="1" applyFill="1" applyBorder="1" applyAlignment="1">
      <alignment horizontal="center"/>
    </xf>
    <xf numFmtId="0" fontId="34" fillId="39" borderId="22" xfId="0" applyFont="1" applyFill="1" applyBorder="1" applyAlignment="1">
      <alignment horizontal="center"/>
    </xf>
    <xf numFmtId="0" fontId="28" fillId="0" borderId="0" xfId="0" applyFont="1" applyFill="1" applyBorder="1" applyAlignment="1">
      <alignment horizontal="right"/>
    </xf>
    <xf numFmtId="0" fontId="29" fillId="0" borderId="0" xfId="0" applyFont="1" applyFill="1" applyBorder="1" applyAlignment="1">
      <alignment horizontal="center"/>
    </xf>
    <xf numFmtId="0" fontId="37" fillId="38" borderId="15" xfId="0" applyFont="1" applyFill="1" applyBorder="1"/>
    <xf numFmtId="0" fontId="37" fillId="38" borderId="17" xfId="0" applyFont="1" applyFill="1" applyBorder="1"/>
    <xf numFmtId="0" fontId="40" fillId="0" borderId="14" xfId="0" applyFont="1" applyFill="1" applyBorder="1" applyAlignment="1">
      <alignment horizontal="center" vertical="center"/>
    </xf>
    <xf numFmtId="164" fontId="30" fillId="0" borderId="14" xfId="0" applyNumberFormat="1" applyFont="1" applyFill="1" applyBorder="1" applyAlignment="1">
      <alignment horizontal="center" vertical="center"/>
    </xf>
    <xf numFmtId="0" fontId="29" fillId="0" borderId="38" xfId="0" applyFont="1" applyFill="1" applyBorder="1" applyAlignment="1">
      <alignment horizontal="center" vertical="center"/>
    </xf>
    <xf numFmtId="0" fontId="29" fillId="0" borderId="53" xfId="0" applyFont="1" applyFill="1" applyBorder="1" applyAlignment="1">
      <alignment horizontal="center" vertical="center"/>
    </xf>
    <xf numFmtId="0" fontId="29" fillId="0" borderId="39" xfId="0" applyFont="1" applyFill="1" applyBorder="1" applyAlignment="1">
      <alignment horizontal="center" vertical="center"/>
    </xf>
    <xf numFmtId="0" fontId="29" fillId="0" borderId="38" xfId="0" applyFont="1" applyFill="1" applyBorder="1" applyAlignment="1">
      <alignment horizontal="center"/>
    </xf>
    <xf numFmtId="0" fontId="29" fillId="0" borderId="39" xfId="0" applyFont="1" applyFill="1" applyBorder="1" applyAlignment="1">
      <alignment horizontal="center"/>
    </xf>
    <xf numFmtId="0" fontId="40" fillId="0" borderId="34" xfId="0" applyFont="1" applyFill="1" applyBorder="1" applyAlignment="1">
      <alignment horizontal="center" vertical="center"/>
    </xf>
    <xf numFmtId="0" fontId="26" fillId="0" borderId="36" xfId="0" applyFont="1" applyFill="1" applyBorder="1"/>
    <xf numFmtId="0" fontId="35" fillId="38" borderId="31" xfId="0" applyFont="1" applyFill="1" applyBorder="1" applyAlignment="1">
      <alignment horizontal="center" vertical="center"/>
    </xf>
    <xf numFmtId="0" fontId="35" fillId="38" borderId="33" xfId="0" applyFont="1" applyFill="1" applyBorder="1" applyAlignment="1">
      <alignment horizontal="center" vertical="center"/>
    </xf>
    <xf numFmtId="0" fontId="29" fillId="0" borderId="26" xfId="0" applyFont="1" applyFill="1" applyBorder="1" applyAlignment="1">
      <alignment horizontal="center" vertical="center"/>
    </xf>
    <xf numFmtId="0" fontId="29" fillId="0" borderId="28" xfId="0" applyFont="1" applyFill="1" applyBorder="1" applyAlignment="1">
      <alignment horizontal="center" vertical="center"/>
    </xf>
    <xf numFmtId="0" fontId="30" fillId="0" borderId="31" xfId="0" applyFont="1" applyFill="1" applyBorder="1" applyAlignment="1">
      <alignment horizontal="center" vertical="center"/>
    </xf>
    <xf numFmtId="0" fontId="30" fillId="0" borderId="33" xfId="0" applyFont="1" applyFill="1" applyBorder="1" applyAlignment="1">
      <alignment horizontal="center" vertical="center"/>
    </xf>
    <xf numFmtId="0" fontId="28" fillId="0" borderId="26" xfId="0" applyFont="1" applyFill="1" applyBorder="1" applyAlignment="1">
      <alignment horizontal="right"/>
    </xf>
    <xf numFmtId="0" fontId="28" fillId="0" borderId="31" xfId="0" applyFont="1" applyFill="1" applyBorder="1" applyAlignment="1">
      <alignment horizontal="right"/>
    </xf>
    <xf numFmtId="0" fontId="29" fillId="0" borderId="14" xfId="0" applyFont="1" applyFill="1" applyBorder="1" applyAlignment="1">
      <alignment horizontal="center" vertical="center"/>
    </xf>
    <xf numFmtId="0" fontId="32" fillId="0" borderId="14" xfId="0" applyFont="1" applyFill="1" applyBorder="1" applyAlignment="1">
      <alignment horizontal="center" vertical="center"/>
    </xf>
    <xf numFmtId="0" fontId="26" fillId="0" borderId="0" xfId="0" applyFont="1" applyFill="1" applyAlignment="1">
      <alignment vertical="top"/>
    </xf>
    <xf numFmtId="0" fontId="23" fillId="41" borderId="15" xfId="0" applyFont="1" applyFill="1" applyBorder="1" applyAlignment="1">
      <alignment horizontal="center"/>
    </xf>
    <xf numFmtId="0" fontId="23" fillId="45" borderId="21" xfId="0" applyFont="1" applyFill="1" applyBorder="1" applyAlignment="1">
      <alignment horizontal="center"/>
    </xf>
    <xf numFmtId="164" fontId="23" fillId="45" borderId="22" xfId="0" applyNumberFormat="1" applyFont="1" applyFill="1" applyBorder="1" applyAlignment="1">
      <alignment horizontal="center"/>
    </xf>
    <xf numFmtId="0" fontId="23" fillId="37" borderId="18" xfId="0" applyFont="1" applyFill="1" applyBorder="1"/>
    <xf numFmtId="0" fontId="23" fillId="37" borderId="15" xfId="0" applyFont="1" applyFill="1" applyBorder="1" applyAlignment="1">
      <alignment horizontal="center"/>
    </xf>
    <xf numFmtId="164" fontId="23" fillId="37" borderId="34" xfId="0" applyNumberFormat="1" applyFont="1" applyFill="1" applyBorder="1" applyAlignment="1">
      <alignment horizontal="center"/>
    </xf>
    <xf numFmtId="164" fontId="23" fillId="37" borderId="35" xfId="0" applyNumberFormat="1" applyFont="1" applyFill="1" applyBorder="1" applyAlignment="1">
      <alignment horizontal="center"/>
    </xf>
    <xf numFmtId="0" fontId="23" fillId="37" borderId="20" xfId="0" applyFont="1" applyFill="1" applyBorder="1"/>
    <xf numFmtId="164" fontId="23" fillId="37" borderId="36" xfId="0" applyNumberFormat="1" applyFont="1" applyFill="1" applyBorder="1" applyAlignment="1">
      <alignment horizontal="center"/>
    </xf>
    <xf numFmtId="0" fontId="0" fillId="0" borderId="0" xfId="0" applyFill="1"/>
    <xf numFmtId="0" fontId="0" fillId="0" borderId="0" xfId="0" applyFill="1" applyAlignment="1">
      <alignment horizontal="center"/>
    </xf>
    <xf numFmtId="164" fontId="0" fillId="0" borderId="0" xfId="0" applyNumberFormat="1" applyFill="1" applyAlignment="1">
      <alignment horizontal="right"/>
    </xf>
    <xf numFmtId="0" fontId="0" fillId="0" borderId="15" xfId="0" applyFill="1" applyBorder="1"/>
    <xf numFmtId="0" fontId="0" fillId="0" borderId="16" xfId="0" applyFill="1" applyBorder="1"/>
    <xf numFmtId="0" fontId="0" fillId="0" borderId="16" xfId="0" applyFill="1" applyBorder="1" applyAlignment="1">
      <alignment horizontal="center"/>
    </xf>
    <xf numFmtId="164" fontId="0" fillId="0" borderId="34" xfId="0" applyNumberFormat="1" applyFill="1" applyBorder="1" applyAlignment="1">
      <alignment horizontal="right"/>
    </xf>
    <xf numFmtId="0" fontId="0" fillId="0" borderId="17" xfId="0" applyFill="1" applyBorder="1" applyAlignment="1">
      <alignment horizontal="center"/>
    </xf>
    <xf numFmtId="0" fontId="0" fillId="0" borderId="18" xfId="0" applyFill="1" applyBorder="1"/>
    <xf numFmtId="0" fontId="0" fillId="0" borderId="0" xfId="0" applyFill="1" applyBorder="1"/>
    <xf numFmtId="0" fontId="0" fillId="0" borderId="0" xfId="0" applyFill="1" applyBorder="1" applyAlignment="1">
      <alignment horizontal="center"/>
    </xf>
    <xf numFmtId="164" fontId="0" fillId="0" borderId="35" xfId="0" applyNumberFormat="1" applyFill="1" applyBorder="1" applyAlignment="1">
      <alignment horizontal="right"/>
    </xf>
    <xf numFmtId="0" fontId="0" fillId="0" borderId="19" xfId="0" applyFill="1" applyBorder="1" applyAlignment="1">
      <alignment horizontal="center"/>
    </xf>
    <xf numFmtId="0" fontId="36" fillId="0" borderId="18" xfId="0" applyFont="1" applyFill="1" applyBorder="1"/>
    <xf numFmtId="0" fontId="35" fillId="0" borderId="14" xfId="0" applyFont="1" applyFill="1" applyBorder="1" applyAlignment="1">
      <alignment horizontal="center"/>
    </xf>
    <xf numFmtId="0" fontId="0" fillId="0" borderId="20" xfId="0" applyFill="1" applyBorder="1"/>
    <xf numFmtId="0" fontId="0" fillId="0" borderId="21" xfId="0" applyFill="1" applyBorder="1"/>
    <xf numFmtId="164" fontId="0" fillId="0" borderId="36" xfId="0" applyNumberFormat="1" applyFill="1" applyBorder="1"/>
    <xf numFmtId="0" fontId="36" fillId="0" borderId="20" xfId="0" applyFont="1" applyFill="1" applyBorder="1"/>
    <xf numFmtId="0" fontId="0" fillId="0" borderId="21" xfId="0" applyFill="1" applyBorder="1" applyAlignment="1">
      <alignment horizontal="center"/>
    </xf>
    <xf numFmtId="0" fontId="20" fillId="0" borderId="0" xfId="0" applyFont="1" applyFill="1" applyAlignment="1">
      <alignment horizontal="center"/>
    </xf>
    <xf numFmtId="0" fontId="24" fillId="0" borderId="0" xfId="0" applyFont="1" applyFill="1" applyAlignment="1">
      <alignment horizontal="center"/>
    </xf>
    <xf numFmtId="0" fontId="25" fillId="0" borderId="11" xfId="0" applyFont="1" applyFill="1" applyBorder="1" applyAlignment="1">
      <alignment horizontal="center"/>
    </xf>
    <xf numFmtId="0" fontId="22" fillId="0" borderId="12" xfId="0" applyFont="1" applyFill="1" applyBorder="1" applyAlignment="1">
      <alignment horizontal="center"/>
    </xf>
    <xf numFmtId="0" fontId="0" fillId="0" borderId="13" xfId="0" applyFill="1" applyBorder="1"/>
    <xf numFmtId="164" fontId="0" fillId="0" borderId="13" xfId="0" applyNumberFormat="1" applyFill="1" applyBorder="1"/>
    <xf numFmtId="0" fontId="0" fillId="0" borderId="26" xfId="0" applyFill="1" applyBorder="1"/>
    <xf numFmtId="0" fontId="0" fillId="0" borderId="27" xfId="0" applyFill="1" applyBorder="1" applyAlignment="1">
      <alignment horizontal="center"/>
    </xf>
    <xf numFmtId="0" fontId="0" fillId="0" borderId="28" xfId="0" applyFill="1" applyBorder="1" applyAlignment="1">
      <alignment horizontal="center"/>
    </xf>
    <xf numFmtId="0" fontId="0" fillId="0" borderId="31" xfId="0" applyFill="1" applyBorder="1"/>
    <xf numFmtId="0" fontId="0" fillId="0" borderId="32" xfId="0" applyFill="1" applyBorder="1" applyAlignment="1">
      <alignment horizontal="center"/>
    </xf>
    <xf numFmtId="0" fontId="0" fillId="0" borderId="33" xfId="0" applyFill="1" applyBorder="1" applyAlignment="1">
      <alignment horizontal="center"/>
    </xf>
    <xf numFmtId="0" fontId="0" fillId="0" borderId="55" xfId="0" applyFill="1" applyBorder="1" applyAlignment="1">
      <alignment horizontal="center"/>
    </xf>
    <xf numFmtId="164" fontId="21" fillId="0" borderId="0" xfId="0" applyNumberFormat="1" applyFont="1" applyFill="1" applyBorder="1" applyAlignment="1">
      <alignment horizontal="center"/>
    </xf>
    <xf numFmtId="0" fontId="0" fillId="0" borderId="29" xfId="0" applyFill="1" applyBorder="1"/>
    <xf numFmtId="0" fontId="0" fillId="0" borderId="13" xfId="0" applyFill="1" applyBorder="1" applyAlignment="1">
      <alignment horizontal="center"/>
    </xf>
    <xf numFmtId="0" fontId="0" fillId="0" borderId="30" xfId="0" applyFill="1" applyBorder="1" applyAlignment="1">
      <alignment horizontal="center"/>
    </xf>
    <xf numFmtId="0" fontId="0" fillId="0" borderId="10" xfId="0" applyFill="1" applyBorder="1" applyAlignment="1">
      <alignment horizontal="center"/>
    </xf>
    <xf numFmtId="164" fontId="21" fillId="0" borderId="0" xfId="0" applyNumberFormat="1" applyFont="1" applyFill="1" applyAlignment="1">
      <alignment horizontal="center"/>
    </xf>
    <xf numFmtId="164" fontId="23" fillId="33" borderId="25" xfId="0" applyNumberFormat="1" applyFont="1" applyFill="1" applyBorder="1" applyAlignment="1">
      <alignment horizontal="center"/>
    </xf>
    <xf numFmtId="0" fontId="23" fillId="33" borderId="0" xfId="0" applyFont="1" applyFill="1" applyBorder="1" applyAlignment="1">
      <alignment horizontal="center"/>
    </xf>
    <xf numFmtId="164" fontId="23" fillId="33" borderId="19" xfId="0" applyNumberFormat="1" applyFont="1" applyFill="1" applyBorder="1" applyAlignment="1">
      <alignment horizontal="center"/>
    </xf>
    <xf numFmtId="0" fontId="23" fillId="33" borderId="38" xfId="0" applyFont="1" applyFill="1" applyBorder="1"/>
    <xf numFmtId="0" fontId="23" fillId="33" borderId="39" xfId="0" applyFont="1" applyFill="1" applyBorder="1" applyAlignment="1">
      <alignment horizontal="center"/>
    </xf>
    <xf numFmtId="0" fontId="34" fillId="0" borderId="15" xfId="0" applyFont="1" applyFill="1" applyBorder="1"/>
    <xf numFmtId="0" fontId="34" fillId="0" borderId="17" xfId="0" applyFont="1" applyFill="1" applyBorder="1" applyAlignment="1">
      <alignment horizontal="center"/>
    </xf>
    <xf numFmtId="164" fontId="34" fillId="0" borderId="34" xfId="0" applyNumberFormat="1" applyFont="1" applyFill="1" applyBorder="1" applyAlignment="1">
      <alignment horizontal="center"/>
    </xf>
    <xf numFmtId="0" fontId="34" fillId="0" borderId="18" xfId="0" applyFont="1" applyFill="1" applyBorder="1"/>
    <xf numFmtId="0" fontId="34" fillId="0" borderId="19" xfId="0" applyFont="1" applyFill="1" applyBorder="1" applyAlignment="1">
      <alignment horizontal="center"/>
    </xf>
    <xf numFmtId="164" fontId="34" fillId="0" borderId="35" xfId="0" applyNumberFormat="1" applyFont="1" applyFill="1" applyBorder="1" applyAlignment="1">
      <alignment horizontal="center"/>
    </xf>
    <xf numFmtId="0" fontId="34" fillId="0" borderId="20" xfId="0" applyFont="1" applyFill="1" applyBorder="1"/>
    <xf numFmtId="0" fontId="34" fillId="0" borderId="22" xfId="0" applyFont="1" applyFill="1" applyBorder="1" applyAlignment="1">
      <alignment horizontal="center"/>
    </xf>
    <xf numFmtId="164" fontId="34" fillId="0" borderId="36" xfId="0" applyNumberFormat="1" applyFont="1" applyFill="1" applyBorder="1" applyAlignment="1">
      <alignment horizontal="center"/>
    </xf>
    <xf numFmtId="0" fontId="34" fillId="0" borderId="0" xfId="0" applyFont="1" applyFill="1" applyBorder="1" applyAlignment="1">
      <alignment horizontal="center"/>
    </xf>
    <xf numFmtId="0" fontId="34" fillId="0" borderId="35" xfId="0" applyFont="1" applyFill="1" applyBorder="1"/>
    <xf numFmtId="0" fontId="34" fillId="0" borderId="36" xfId="0" applyFont="1" applyFill="1" applyBorder="1"/>
    <xf numFmtId="0" fontId="34" fillId="0" borderId="34" xfId="0" applyFont="1" applyFill="1" applyBorder="1"/>
    <xf numFmtId="0" fontId="44" fillId="0" borderId="0" xfId="0" applyFont="1" applyAlignment="1">
      <alignment vertical="center" wrapText="1"/>
    </xf>
    <xf numFmtId="0" fontId="46" fillId="0" borderId="0" xfId="0" applyFont="1" applyAlignment="1">
      <alignment vertical="center"/>
    </xf>
    <xf numFmtId="0" fontId="45" fillId="0" borderId="0" xfId="0" applyFont="1" applyAlignment="1">
      <alignment vertical="center"/>
    </xf>
    <xf numFmtId="0" fontId="47" fillId="0" borderId="0" xfId="0" applyFont="1"/>
    <xf numFmtId="0" fontId="48" fillId="0" borderId="0" xfId="0" applyFont="1" applyAlignment="1">
      <alignment vertical="center" wrapText="1"/>
    </xf>
    <xf numFmtId="0" fontId="49" fillId="0" borderId="0" xfId="0" applyFont="1" applyAlignment="1">
      <alignment vertical="center"/>
    </xf>
    <xf numFmtId="0" fontId="45" fillId="0" borderId="0" xfId="0" applyFont="1" applyAlignment="1">
      <alignment horizontal="center" vertical="center" wrapText="1"/>
    </xf>
    <xf numFmtId="0" fontId="47" fillId="0" borderId="0" xfId="0" applyFont="1" applyBorder="1"/>
    <xf numFmtId="0" fontId="49" fillId="0" borderId="0" xfId="0" applyFont="1"/>
    <xf numFmtId="0" fontId="49" fillId="0" borderId="13" xfId="0" applyFont="1" applyBorder="1"/>
    <xf numFmtId="0" fontId="49" fillId="0" borderId="0" xfId="0" applyFont="1" applyAlignment="1">
      <alignment horizontal="left" vertical="center" indent="1"/>
    </xf>
    <xf numFmtId="0" fontId="49" fillId="0" borderId="13" xfId="0" applyFont="1" applyBorder="1" applyAlignment="1">
      <alignment horizontal="left" vertical="center" indent="1"/>
    </xf>
    <xf numFmtId="0" fontId="49" fillId="0" borderId="0" xfId="0" applyFont="1" applyBorder="1" applyAlignment="1">
      <alignment horizontal="left" vertical="center" indent="1"/>
    </xf>
    <xf numFmtId="0" fontId="49" fillId="0" borderId="0" xfId="0" applyFont="1" applyBorder="1"/>
    <xf numFmtId="0" fontId="50" fillId="0" borderId="0" xfId="0" applyFont="1"/>
    <xf numFmtId="0" fontId="50" fillId="0" borderId="0" xfId="0" applyFont="1" applyAlignment="1">
      <alignment vertical="top"/>
    </xf>
    <xf numFmtId="0" fontId="34" fillId="0" borderId="59" xfId="0" applyFont="1" applyFill="1" applyBorder="1"/>
    <xf numFmtId="0" fontId="34" fillId="0" borderId="60" xfId="0" applyFont="1" applyFill="1" applyBorder="1" applyAlignment="1">
      <alignment horizontal="center"/>
    </xf>
    <xf numFmtId="164" fontId="34" fillId="0" borderId="61" xfId="0" applyNumberFormat="1" applyFont="1" applyFill="1" applyBorder="1" applyAlignment="1">
      <alignment horizontal="center"/>
    </xf>
    <xf numFmtId="0" fontId="49" fillId="0" borderId="62" xfId="0" applyFont="1" applyBorder="1"/>
    <xf numFmtId="0" fontId="49" fillId="0" borderId="62" xfId="0" applyFont="1" applyBorder="1" applyAlignment="1">
      <alignment wrapText="1"/>
    </xf>
    <xf numFmtId="0" fontId="34" fillId="0" borderId="62" xfId="0" applyFont="1" applyFill="1" applyBorder="1"/>
    <xf numFmtId="0" fontId="34" fillId="0" borderId="63" xfId="0" applyFont="1" applyFill="1" applyBorder="1"/>
    <xf numFmtId="0" fontId="34" fillId="0" borderId="64" xfId="0" applyFont="1" applyFill="1" applyBorder="1" applyAlignment="1">
      <alignment horizontal="center"/>
    </xf>
    <xf numFmtId="0" fontId="23" fillId="44" borderId="56" xfId="0" applyFont="1" applyFill="1" applyBorder="1"/>
    <xf numFmtId="164" fontId="34" fillId="0" borderId="13" xfId="0" applyNumberFormat="1" applyFont="1" applyFill="1" applyBorder="1" applyAlignment="1">
      <alignment horizontal="center"/>
    </xf>
    <xf numFmtId="44" fontId="47" fillId="0" borderId="0" xfId="65" applyFont="1" applyBorder="1" applyAlignment="1">
      <alignment horizontal="center"/>
    </xf>
    <xf numFmtId="44" fontId="47" fillId="0" borderId="46" xfId="65" applyFont="1" applyBorder="1" applyAlignment="1">
      <alignment horizontal="center"/>
    </xf>
    <xf numFmtId="0" fontId="32" fillId="0" borderId="0" xfId="0" applyFont="1"/>
    <xf numFmtId="0" fontId="52" fillId="0" borderId="0" xfId="0" applyFont="1"/>
    <xf numFmtId="0" fontId="49" fillId="0" borderId="0" xfId="0" applyFont="1" applyBorder="1" applyAlignment="1">
      <alignment horizontal="center" vertical="center"/>
    </xf>
    <xf numFmtId="0" fontId="49" fillId="0" borderId="12" xfId="0" applyFont="1" applyBorder="1" applyAlignment="1">
      <alignment horizontal="center" vertical="center"/>
    </xf>
    <xf numFmtId="166" fontId="0" fillId="0" borderId="35" xfId="0" applyNumberFormat="1" applyFill="1" applyBorder="1" applyAlignment="1">
      <alignment horizontal="right"/>
    </xf>
    <xf numFmtId="0" fontId="0" fillId="0" borderId="65" xfId="0" applyFill="1" applyBorder="1"/>
    <xf numFmtId="0" fontId="0" fillId="0" borderId="66" xfId="0" applyFill="1" applyBorder="1" applyAlignment="1">
      <alignment horizontal="center"/>
    </xf>
    <xf numFmtId="0" fontId="0" fillId="0" borderId="67" xfId="0" applyFill="1" applyBorder="1" applyAlignment="1">
      <alignment horizontal="center"/>
    </xf>
    <xf numFmtId="0" fontId="22" fillId="0" borderId="13" xfId="0" applyFont="1" applyFill="1" applyBorder="1" applyAlignment="1">
      <alignment horizontal="center"/>
    </xf>
    <xf numFmtId="49" fontId="23" fillId="33" borderId="39" xfId="0" applyNumberFormat="1" applyFont="1" applyFill="1" applyBorder="1" applyAlignment="1">
      <alignment horizontal="center"/>
    </xf>
    <xf numFmtId="0" fontId="41" fillId="0" borderId="0" xfId="0" applyFont="1" applyFill="1" applyBorder="1" applyAlignment="1">
      <alignment horizontal="center"/>
    </xf>
    <xf numFmtId="0" fontId="53" fillId="0" borderId="14" xfId="0" applyFont="1" applyFill="1" applyBorder="1" applyAlignment="1">
      <alignment horizontal="center"/>
    </xf>
    <xf numFmtId="9" fontId="39" fillId="0" borderId="14" xfId="66" applyFont="1" applyFill="1" applyBorder="1" applyAlignment="1">
      <alignment horizontal="center"/>
    </xf>
    <xf numFmtId="167" fontId="55" fillId="0" borderId="13" xfId="65" applyNumberFormat="1" applyFont="1" applyFill="1" applyBorder="1" applyAlignment="1">
      <alignment horizontal="center"/>
    </xf>
    <xf numFmtId="165" fontId="56" fillId="0" borderId="13" xfId="0" applyNumberFormat="1" applyFont="1" applyFill="1" applyBorder="1" applyAlignment="1">
      <alignment horizontal="center" vertical="center"/>
    </xf>
    <xf numFmtId="165" fontId="55" fillId="0" borderId="13" xfId="67" applyNumberFormat="1" applyFont="1" applyFill="1" applyBorder="1" applyAlignment="1">
      <alignment horizontal="center" vertical="center"/>
    </xf>
    <xf numFmtId="0" fontId="46" fillId="0" borderId="0" xfId="0" applyFont="1" applyAlignment="1">
      <alignment horizontal="center" vertical="center" wrapText="1"/>
    </xf>
    <xf numFmtId="0" fontId="44" fillId="0" borderId="0" xfId="0" applyFont="1" applyAlignment="1">
      <alignment horizontal="center" vertical="center" wrapText="1"/>
    </xf>
    <xf numFmtId="0" fontId="49" fillId="0" borderId="57" xfId="0" applyFont="1" applyBorder="1" applyAlignment="1">
      <alignment horizontal="center"/>
    </xf>
    <xf numFmtId="0" fontId="49" fillId="0" borderId="46" xfId="0" applyFont="1" applyBorder="1" applyAlignment="1">
      <alignment horizontal="center"/>
    </xf>
    <xf numFmtId="0" fontId="49" fillId="0" borderId="58" xfId="0" applyFont="1" applyBorder="1" applyAlignment="1">
      <alignment horizontal="center"/>
    </xf>
    <xf numFmtId="0" fontId="46" fillId="0" borderId="0" xfId="0" applyFont="1" applyAlignment="1">
      <alignment horizontal="left" vertical="center" wrapText="1"/>
    </xf>
    <xf numFmtId="0" fontId="45" fillId="0" borderId="0" xfId="0" applyFont="1" applyAlignment="1">
      <alignment horizontal="center" vertical="center" wrapText="1"/>
    </xf>
    <xf numFmtId="167" fontId="49" fillId="0" borderId="0" xfId="0" applyNumberFormat="1" applyFont="1" applyAlignment="1">
      <alignment horizontal="left" vertical="center" wrapText="1"/>
    </xf>
    <xf numFmtId="0" fontId="49" fillId="0" borderId="57" xfId="0" applyFont="1" applyBorder="1" applyAlignment="1">
      <alignment horizontal="center" vertical="center"/>
    </xf>
    <xf numFmtId="0" fontId="49" fillId="0" borderId="46" xfId="0" applyFont="1" applyBorder="1" applyAlignment="1">
      <alignment horizontal="center" vertical="center"/>
    </xf>
    <xf numFmtId="0" fontId="49" fillId="0" borderId="58" xfId="0" applyFont="1" applyBorder="1" applyAlignment="1">
      <alignment horizontal="center" vertical="center"/>
    </xf>
    <xf numFmtId="0" fontId="23" fillId="33" borderId="0" xfId="0" applyFont="1" applyFill="1" applyAlignment="1">
      <alignment horizontal="center" vertical="center"/>
    </xf>
    <xf numFmtId="0" fontId="49" fillId="0" borderId="0" xfId="0" applyFont="1" applyAlignment="1">
      <alignment horizontal="center"/>
    </xf>
    <xf numFmtId="44" fontId="47" fillId="0" borderId="57" xfId="65" applyFont="1" applyBorder="1" applyAlignment="1">
      <alignment horizontal="center"/>
    </xf>
    <xf numFmtId="44" fontId="47" fillId="0" borderId="58" xfId="65" applyFont="1" applyBorder="1" applyAlignment="1">
      <alignment horizontal="center"/>
    </xf>
    <xf numFmtId="0" fontId="47" fillId="0" borderId="57" xfId="0" applyFont="1" applyBorder="1" applyAlignment="1">
      <alignment horizontal="center"/>
    </xf>
    <xf numFmtId="0" fontId="47" fillId="0" borderId="46" xfId="0" applyFont="1" applyBorder="1" applyAlignment="1">
      <alignment horizontal="center"/>
    </xf>
    <xf numFmtId="0" fontId="47" fillId="0" borderId="58" xfId="0" applyFont="1" applyBorder="1" applyAlignment="1">
      <alignment horizontal="center"/>
    </xf>
    <xf numFmtId="167" fontId="47" fillId="0" borderId="57" xfId="65" applyNumberFormat="1" applyFont="1" applyBorder="1" applyAlignment="1">
      <alignment horizontal="center"/>
    </xf>
    <xf numFmtId="167" fontId="47" fillId="0" borderId="58" xfId="65" applyNumberFormat="1" applyFont="1" applyBorder="1" applyAlignment="1">
      <alignment horizontal="center"/>
    </xf>
    <xf numFmtId="44" fontId="52" fillId="0" borderId="57" xfId="65" applyFont="1" applyFill="1" applyBorder="1" applyAlignment="1">
      <alignment horizontal="center"/>
    </xf>
    <xf numFmtId="44" fontId="52" fillId="0" borderId="58" xfId="65" applyFont="1" applyFill="1" applyBorder="1" applyAlignment="1">
      <alignment horizontal="center"/>
    </xf>
    <xf numFmtId="44" fontId="49" fillId="0" borderId="57" xfId="65" applyFont="1" applyBorder="1" applyAlignment="1">
      <alignment horizontal="center"/>
    </xf>
    <xf numFmtId="44" fontId="49" fillId="0" borderId="58" xfId="65" applyFont="1" applyBorder="1" applyAlignment="1">
      <alignment horizontal="center"/>
    </xf>
    <xf numFmtId="0" fontId="47" fillId="0" borderId="0" xfId="0" applyFont="1" applyBorder="1" applyAlignment="1">
      <alignment horizontal="center"/>
    </xf>
    <xf numFmtId="0" fontId="23" fillId="33" borderId="15" xfId="0" applyFont="1" applyFill="1" applyBorder="1" applyAlignment="1">
      <alignment horizontal="center"/>
    </xf>
    <xf numFmtId="0" fontId="23" fillId="33" borderId="16" xfId="0" applyFont="1" applyFill="1" applyBorder="1" applyAlignment="1">
      <alignment horizontal="center"/>
    </xf>
    <xf numFmtId="0" fontId="23" fillId="33" borderId="17" xfId="0" applyFont="1" applyFill="1" applyBorder="1" applyAlignment="1">
      <alignment horizontal="center"/>
    </xf>
    <xf numFmtId="0" fontId="23" fillId="33" borderId="23" xfId="0" applyFont="1" applyFill="1" applyBorder="1" applyAlignment="1">
      <alignment horizontal="center"/>
    </xf>
    <xf numFmtId="0" fontId="23" fillId="33" borderId="25" xfId="0" applyFont="1" applyFill="1" applyBorder="1" applyAlignment="1">
      <alignment horizontal="center"/>
    </xf>
    <xf numFmtId="0" fontId="43" fillId="44" borderId="0" xfId="0" applyFont="1" applyFill="1" applyAlignment="1">
      <alignment horizontal="center"/>
    </xf>
    <xf numFmtId="0" fontId="23" fillId="33" borderId="24" xfId="0" applyFont="1" applyFill="1" applyBorder="1" applyAlignment="1">
      <alignment horizontal="center"/>
    </xf>
    <xf numFmtId="0" fontId="0" fillId="0" borderId="23" xfId="0" applyFill="1" applyBorder="1" applyAlignment="1">
      <alignment horizontal="center"/>
    </xf>
    <xf numFmtId="0" fontId="0" fillId="0" borderId="24" xfId="0" applyFill="1" applyBorder="1" applyAlignment="1">
      <alignment horizontal="center"/>
    </xf>
    <xf numFmtId="0" fontId="0" fillId="0" borderId="25" xfId="0" applyFill="1" applyBorder="1" applyAlignment="1">
      <alignment horizontal="center"/>
    </xf>
    <xf numFmtId="0" fontId="0" fillId="0" borderId="15" xfId="0" applyFill="1" applyBorder="1" applyAlignment="1">
      <alignment horizontal="center"/>
    </xf>
    <xf numFmtId="0" fontId="0" fillId="0" borderId="17" xfId="0" applyFill="1" applyBorder="1" applyAlignment="1">
      <alignment horizontal="center"/>
    </xf>
    <xf numFmtId="0" fontId="0" fillId="0" borderId="20" xfId="0" applyFill="1" applyBorder="1" applyAlignment="1">
      <alignment horizontal="center"/>
    </xf>
    <xf numFmtId="0" fontId="0" fillId="0" borderId="22" xfId="0" applyFill="1" applyBorder="1" applyAlignment="1">
      <alignment horizontal="center"/>
    </xf>
    <xf numFmtId="0" fontId="51" fillId="0" borderId="0" xfId="0" applyFont="1" applyFill="1" applyAlignment="1">
      <alignment horizontal="center"/>
    </xf>
    <xf numFmtId="0" fontId="35" fillId="0" borderId="57" xfId="0" applyFont="1" applyFill="1" applyBorder="1" applyAlignment="1">
      <alignment horizontal="left"/>
    </xf>
    <xf numFmtId="0" fontId="35" fillId="0" borderId="46" xfId="0" applyFont="1" applyFill="1" applyBorder="1" applyAlignment="1">
      <alignment horizontal="left"/>
    </xf>
    <xf numFmtId="0" fontId="35" fillId="0" borderId="58" xfId="0" applyFont="1" applyFill="1" applyBorder="1" applyAlignment="1">
      <alignment horizontal="left"/>
    </xf>
    <xf numFmtId="0" fontId="27" fillId="0" borderId="0" xfId="0" applyFont="1" applyFill="1" applyAlignment="1">
      <alignment horizontal="center"/>
    </xf>
    <xf numFmtId="0" fontId="41" fillId="46" borderId="23" xfId="0" applyFont="1" applyFill="1" applyBorder="1" applyAlignment="1">
      <alignment horizontal="center" vertical="center"/>
    </xf>
    <xf numFmtId="0" fontId="41" fillId="46" borderId="24" xfId="0" applyFont="1" applyFill="1" applyBorder="1" applyAlignment="1">
      <alignment horizontal="center" vertical="center"/>
    </xf>
    <xf numFmtId="0" fontId="41" fillId="46" borderId="25" xfId="0" applyFont="1" applyFill="1" applyBorder="1" applyAlignment="1">
      <alignment horizontal="center" vertical="center"/>
    </xf>
    <xf numFmtId="0" fontId="29" fillId="0" borderId="47" xfId="0" applyFont="1" applyFill="1" applyBorder="1" applyAlignment="1">
      <alignment horizontal="center"/>
    </xf>
    <xf numFmtId="0" fontId="29" fillId="0" borderId="54" xfId="0" applyFont="1" applyFill="1" applyBorder="1" applyAlignment="1">
      <alignment horizontal="center"/>
    </xf>
    <xf numFmtId="0" fontId="29" fillId="0" borderId="48" xfId="0" applyFont="1" applyFill="1" applyBorder="1" applyAlignment="1">
      <alignment horizontal="center"/>
    </xf>
    <xf numFmtId="0" fontId="29" fillId="0" borderId="51" xfId="0" applyFont="1" applyFill="1" applyBorder="1" applyAlignment="1">
      <alignment horizontal="center" vertical="center"/>
    </xf>
    <xf numFmtId="0" fontId="29" fillId="0" borderId="55" xfId="0" applyFont="1" applyFill="1" applyBorder="1" applyAlignment="1">
      <alignment horizontal="center" vertical="center"/>
    </xf>
    <xf numFmtId="0" fontId="29" fillId="0" borderId="52" xfId="0" applyFont="1" applyFill="1" applyBorder="1" applyAlignment="1">
      <alignment horizontal="center" vertical="center"/>
    </xf>
    <xf numFmtId="0" fontId="29" fillId="0" borderId="49" xfId="0" applyFont="1" applyFill="1" applyBorder="1" applyAlignment="1">
      <alignment horizontal="center" vertical="center"/>
    </xf>
    <xf numFmtId="0" fontId="29" fillId="0" borderId="46" xfId="0" applyFont="1" applyFill="1" applyBorder="1" applyAlignment="1">
      <alignment horizontal="center" vertical="center"/>
    </xf>
    <xf numFmtId="0" fontId="29" fillId="0" borderId="50" xfId="0" applyFont="1" applyFill="1" applyBorder="1" applyAlignment="1">
      <alignment horizontal="center" vertical="center"/>
    </xf>
    <xf numFmtId="0" fontId="38" fillId="0" borderId="47" xfId="0" applyFont="1" applyFill="1" applyBorder="1" applyAlignment="1">
      <alignment horizontal="center"/>
    </xf>
    <xf numFmtId="0" fontId="38" fillId="0" borderId="48" xfId="0" applyFont="1" applyFill="1" applyBorder="1" applyAlignment="1">
      <alignment horizontal="center"/>
    </xf>
    <xf numFmtId="0" fontId="38" fillId="0" borderId="49" xfId="0" applyFont="1" applyFill="1" applyBorder="1" applyAlignment="1">
      <alignment horizontal="center"/>
    </xf>
    <xf numFmtId="0" fontId="38" fillId="0" borderId="50" xfId="0" applyFont="1" applyFill="1" applyBorder="1" applyAlignment="1">
      <alignment horizontal="center"/>
    </xf>
    <xf numFmtId="0" fontId="38" fillId="0" borderId="51" xfId="0" applyFont="1" applyFill="1" applyBorder="1" applyAlignment="1">
      <alignment horizontal="center"/>
    </xf>
    <xf numFmtId="0" fontId="38" fillId="0" borderId="52" xfId="0" applyFont="1" applyFill="1" applyBorder="1" applyAlignment="1">
      <alignment horizontal="center"/>
    </xf>
    <xf numFmtId="0" fontId="41" fillId="0" borderId="56" xfId="0" applyFont="1" applyFill="1" applyBorder="1" applyAlignment="1">
      <alignment horizontal="center"/>
    </xf>
    <xf numFmtId="0" fontId="42" fillId="0" borderId="0" xfId="0" applyFont="1" applyFill="1" applyAlignment="1">
      <alignment horizontal="center"/>
    </xf>
    <xf numFmtId="0" fontId="26" fillId="0" borderId="0" xfId="0" applyFont="1" applyFill="1" applyAlignment="1">
      <alignment horizontal="center" wrapText="1"/>
    </xf>
    <xf numFmtId="49" fontId="29" fillId="0" borderId="27" xfId="0" applyNumberFormat="1" applyFont="1" applyFill="1" applyBorder="1" applyAlignment="1">
      <alignment horizontal="center"/>
    </xf>
    <xf numFmtId="0" fontId="29" fillId="0" borderId="27" xfId="0" applyFont="1" applyFill="1" applyBorder="1" applyAlignment="1">
      <alignment horizontal="center"/>
    </xf>
    <xf numFmtId="0" fontId="29" fillId="0" borderId="28" xfId="0" applyFont="1" applyFill="1" applyBorder="1" applyAlignment="1">
      <alignment horizontal="center"/>
    </xf>
    <xf numFmtId="0" fontId="29" fillId="0" borderId="32" xfId="0" applyFont="1" applyFill="1" applyBorder="1" applyAlignment="1">
      <alignment horizontal="center"/>
    </xf>
    <xf numFmtId="0" fontId="29" fillId="0" borderId="33" xfId="0" applyFont="1" applyFill="1" applyBorder="1" applyAlignment="1">
      <alignment horizontal="center"/>
    </xf>
    <xf numFmtId="0" fontId="35" fillId="38" borderId="26" xfId="0" applyFont="1" applyFill="1" applyBorder="1" applyAlignment="1">
      <alignment horizontal="center" vertical="center"/>
    </xf>
    <xf numFmtId="0" fontId="35" fillId="38" borderId="28" xfId="0" applyFont="1" applyFill="1" applyBorder="1" applyAlignment="1">
      <alignment horizontal="center" vertical="center"/>
    </xf>
    <xf numFmtId="0" fontId="39" fillId="38" borderId="20" xfId="0" applyFont="1" applyFill="1" applyBorder="1" applyAlignment="1">
      <alignment horizontal="center"/>
    </xf>
    <xf numFmtId="0" fontId="39" fillId="38" borderId="22" xfId="0" applyFont="1" applyFill="1" applyBorder="1" applyAlignment="1">
      <alignment horizontal="center"/>
    </xf>
    <xf numFmtId="0" fontId="32" fillId="0" borderId="51" xfId="0" applyFont="1" applyFill="1" applyBorder="1" applyAlignment="1">
      <alignment horizontal="center" vertical="center"/>
    </xf>
    <xf numFmtId="0" fontId="32" fillId="0" borderId="55" xfId="0" applyFont="1" applyFill="1" applyBorder="1" applyAlignment="1">
      <alignment horizontal="center" vertical="center"/>
    </xf>
    <xf numFmtId="0" fontId="32" fillId="0" borderId="52" xfId="0" applyFont="1" applyFill="1" applyBorder="1" applyAlignment="1">
      <alignment horizontal="center" vertical="center"/>
    </xf>
    <xf numFmtId="0" fontId="32" fillId="0" borderId="47" xfId="0" applyFont="1" applyFill="1" applyBorder="1" applyAlignment="1">
      <alignment horizontal="center" vertical="center"/>
    </xf>
    <xf numFmtId="0" fontId="32" fillId="0" borderId="54" xfId="0" applyFont="1" applyFill="1" applyBorder="1" applyAlignment="1">
      <alignment horizontal="center" vertical="center"/>
    </xf>
    <xf numFmtId="0" fontId="32" fillId="0" borderId="48" xfId="0" applyFont="1" applyFill="1" applyBorder="1" applyAlignment="1">
      <alignment horizontal="center" vertical="center"/>
    </xf>
    <xf numFmtId="0" fontId="35" fillId="0" borderId="13" xfId="0" applyFont="1" applyFill="1" applyBorder="1" applyAlignment="1">
      <alignment horizontal="left"/>
    </xf>
    <xf numFmtId="0" fontId="35" fillId="0" borderId="0" xfId="0" applyFont="1" applyFill="1" applyBorder="1" applyAlignment="1">
      <alignment horizontal="left" wrapText="1"/>
    </xf>
    <xf numFmtId="165" fontId="56" fillId="0" borderId="0" xfId="0" applyNumberFormat="1" applyFont="1" applyFill="1" applyBorder="1" applyAlignment="1">
      <alignment horizontal="center" vertical="center"/>
    </xf>
  </cellXfs>
  <cellStyles count="70">
    <cellStyle name="20% - Énfasis1" xfId="19" builtinId="30" customBuiltin="1"/>
    <cellStyle name="20% - Énfasis2" xfId="23" builtinId="34" customBuiltin="1"/>
    <cellStyle name="20% - Énfasis3" xfId="27" builtinId="38" customBuiltin="1"/>
    <cellStyle name="20% - Énfasis4" xfId="31" builtinId="42" customBuiltin="1"/>
    <cellStyle name="20% - Énfasis5" xfId="35" builtinId="46" customBuiltin="1"/>
    <cellStyle name="20% - Énfasis6" xfId="39" builtinId="50" customBuiltin="1"/>
    <cellStyle name="40% - Énfasis1" xfId="20" builtinId="31" customBuiltin="1"/>
    <cellStyle name="40% - Énfasis2" xfId="24" builtinId="35" customBuiltin="1"/>
    <cellStyle name="40% - Énfasis3" xfId="28" builtinId="39" customBuiltin="1"/>
    <cellStyle name="40% - Énfasis4" xfId="32" builtinId="43" customBuiltin="1"/>
    <cellStyle name="40% - Énfasis5" xfId="36" builtinId="47" customBuiltin="1"/>
    <cellStyle name="40% - Énfasis6" xfId="40" builtinId="51" customBuiltin="1"/>
    <cellStyle name="60% - Énfasis1" xfId="21" builtinId="32" customBuiltin="1"/>
    <cellStyle name="60% - Énfasis2" xfId="25" builtinId="36" customBuiltin="1"/>
    <cellStyle name="60% - Énfasis3" xfId="29" builtinId="40" customBuiltin="1"/>
    <cellStyle name="60% - Énfasis4" xfId="33" builtinId="44" customBuiltin="1"/>
    <cellStyle name="60% - Énfasis5" xfId="37" builtinId="48" customBuiltin="1"/>
    <cellStyle name="60% - Énfasis6" xfId="41" builtinId="52" customBuiltin="1"/>
    <cellStyle name="Buena" xfId="7" builtinId="26" customBuiltin="1"/>
    <cellStyle name="Cálculo" xfId="12" builtinId="22" customBuiltin="1"/>
    <cellStyle name="Celda de comprobación" xfId="14" builtinId="23" customBuiltin="1"/>
    <cellStyle name="Celda vinculada" xfId="13" builtinId="24" customBuiltin="1"/>
    <cellStyle name="Encabezado 4" xfId="6" builtinId="19" customBuiltin="1"/>
    <cellStyle name="Énfasis1" xfId="18" builtinId="29" customBuiltin="1"/>
    <cellStyle name="Énfasis2" xfId="22" builtinId="33" customBuiltin="1"/>
    <cellStyle name="Énfasis3" xfId="26" builtinId="37" customBuiltin="1"/>
    <cellStyle name="Énfasis4" xfId="30" builtinId="41" customBuiltin="1"/>
    <cellStyle name="Énfasis5" xfId="34" builtinId="45" customBuiltin="1"/>
    <cellStyle name="Énfasis6" xfId="38" builtinId="49" customBuiltin="1"/>
    <cellStyle name="Entrada" xfId="10" builtinId="20" customBuiltin="1"/>
    <cellStyle name="Hipervínculo" xfId="67" builtinId="8"/>
    <cellStyle name="Incorrecto" xfId="8" builtinId="27" customBuiltin="1"/>
    <cellStyle name="Millares" xfId="1" builtinId="3"/>
    <cellStyle name="Millares 2" xfId="48"/>
    <cellStyle name="Moneda" xfId="65" builtinId="4"/>
    <cellStyle name="Neutral" xfId="9" builtinId="28" customBuiltin="1"/>
    <cellStyle name="Normal" xfId="0" builtinId="0"/>
    <cellStyle name="Normal 10" xfId="57"/>
    <cellStyle name="Normal 11" xfId="59"/>
    <cellStyle name="Normal 12" xfId="61"/>
    <cellStyle name="Normal 2 2" xfId="49"/>
    <cellStyle name="Normal 3" xfId="42"/>
    <cellStyle name="Normal 4" xfId="47"/>
    <cellStyle name="Normal 5" xfId="43"/>
    <cellStyle name="Normal 6" xfId="46"/>
    <cellStyle name="Normal 7" xfId="51"/>
    <cellStyle name="Normal 8" xfId="53"/>
    <cellStyle name="Normal 9" xfId="55"/>
    <cellStyle name="Notas 10" xfId="62"/>
    <cellStyle name="Notas 11" xfId="63"/>
    <cellStyle name="Notas 12" xfId="64"/>
    <cellStyle name="Notas 2" xfId="44"/>
    <cellStyle name="Notas 3" xfId="45"/>
    <cellStyle name="Notas 4" xfId="50"/>
    <cellStyle name="Notas 5" xfId="52"/>
    <cellStyle name="Notas 6" xfId="54"/>
    <cellStyle name="Notas 7" xfId="56"/>
    <cellStyle name="Notas 8" xfId="58"/>
    <cellStyle name="Notas 9" xfId="60"/>
    <cellStyle name="Porcentaje" xfId="66" builtinId="5"/>
    <cellStyle name="Salida" xfId="11" builtinId="21" customBuiltin="1"/>
    <cellStyle name="TableStyleLight1" xfId="1"/>
    <cellStyle name="TableStyleLight1 2" xfId="48"/>
    <cellStyle name="Texto de advertencia" xfId="15" builtinId="11" customBuiltin="1"/>
    <cellStyle name="Texto explicativo" xfId="16" builtinId="53" customBuiltin="1"/>
    <cellStyle name="Título" xfId="2" builtinId="15" customBuiltin="1"/>
    <cellStyle name="Título 1" xfId="3" builtinId="16" customBuiltin="1"/>
    <cellStyle name="Título 2" xfId="4" builtinId="17" customBuiltin="1"/>
    <cellStyle name="Título 3" xfId="5" builtinId="18" customBuiltin="1"/>
    <cellStyle name="Total" xfId="17" builtinId="25" customBuiltin="1"/>
  </cellStyles>
  <dxfs count="8"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AA64F"/>
      <rgbColor rgb="00800080"/>
      <rgbColor rgb="004F81BD"/>
      <rgbColor rgb="00B8CD97"/>
      <rgbColor rgb="00878787"/>
      <rgbColor rgb="0093A9CE"/>
      <rgbColor rgb="00AB4744"/>
      <rgbColor rgb="00FFFFCC"/>
      <rgbColor rgb="00CCFFFF"/>
      <rgbColor rgb="00660066"/>
      <rgbColor rgb="00DC853E"/>
      <rgbColor rgb="004672A8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D09493"/>
      <rgbColor rgb="00CC99FF"/>
      <rgbColor rgb="00FFCC99"/>
      <rgbColor rgb="004A7EBB"/>
      <rgbColor rgb="0033CCCC"/>
      <rgbColor rgb="0098B855"/>
      <rgbColor rgb="00FFCC00"/>
      <rgbColor rgb="00FF9900"/>
      <rgbColor rgb="00FF6600"/>
      <rgbColor rgb="00725990"/>
      <rgbColor rgb="00A99BBD"/>
      <rgbColor rgb="00003366"/>
      <rgbColor rgb="004299B0"/>
      <rgbColor rgb="00003300"/>
      <rgbColor rgb="00333300"/>
      <rgbColor rgb="00993300"/>
      <rgbColor rgb="00BE4B48"/>
      <rgbColor rgb="007D5FA0"/>
      <rgbColor rgb="00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B4B8E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76200</xdr:colOff>
      <xdr:row>0</xdr:row>
      <xdr:rowOff>9525</xdr:rowOff>
    </xdr:from>
    <xdr:to>
      <xdr:col>5</xdr:col>
      <xdr:colOff>142875</xdr:colOff>
      <xdr:row>9</xdr:row>
      <xdr:rowOff>152400</xdr:rowOff>
    </xdr:to>
    <xdr:pic>
      <xdr:nvPicPr>
        <xdr:cNvPr id="2" name="1 Imagen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200" y="9525"/>
          <a:ext cx="1943100" cy="1943100"/>
        </a:xfrm>
        <a:prstGeom prst="rect">
          <a:avLst/>
        </a:prstGeom>
      </xdr:spPr>
    </xdr:pic>
    <xdr:clientData/>
  </xdr:twoCellAnchor>
  <xdr:twoCellAnchor>
    <xdr:from>
      <xdr:col>20</xdr:col>
      <xdr:colOff>127661</xdr:colOff>
      <xdr:row>1</xdr:row>
      <xdr:rowOff>38100</xdr:rowOff>
    </xdr:from>
    <xdr:to>
      <xdr:col>21</xdr:col>
      <xdr:colOff>687249</xdr:colOff>
      <xdr:row>7</xdr:row>
      <xdr:rowOff>85725</xdr:rowOff>
    </xdr:to>
    <xdr:pic>
      <xdr:nvPicPr>
        <xdr:cNvPr id="3" name="2 Imagen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071511" y="238125"/>
          <a:ext cx="1321588" cy="1247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B10:Y85"/>
  <sheetViews>
    <sheetView tabSelected="1" topLeftCell="A55" workbookViewId="0">
      <selection activeCell="U40" sqref="U40"/>
    </sheetView>
  </sheetViews>
  <sheetFormatPr baseColWidth="10" defaultRowHeight="15.75" x14ac:dyDescent="0.25"/>
  <cols>
    <col min="1" max="1" width="5.28515625" style="156" customWidth="1"/>
    <col min="2" max="10" width="5.7109375" style="156" customWidth="1"/>
    <col min="11" max="11" width="5.28515625" style="156" customWidth="1"/>
    <col min="12" max="19" width="5.7109375" style="156" customWidth="1"/>
    <col min="20" max="16384" width="11.42578125" style="156"/>
  </cols>
  <sheetData>
    <row r="10" spans="2:25" x14ac:dyDescent="0.25">
      <c r="B10" s="155"/>
      <c r="C10" s="155"/>
    </row>
    <row r="11" spans="2:25" x14ac:dyDescent="0.25">
      <c r="B11" s="154" t="s">
        <v>159</v>
      </c>
      <c r="C11" s="157"/>
      <c r="D11" s="153"/>
      <c r="E11" s="153"/>
      <c r="F11" s="198"/>
      <c r="G11" s="198"/>
      <c r="H11" s="198"/>
      <c r="I11" s="153"/>
      <c r="J11" s="153"/>
      <c r="K11" s="153"/>
      <c r="L11" s="153"/>
    </row>
    <row r="12" spans="2:25" x14ac:dyDescent="0.25">
      <c r="B12" s="202" t="s">
        <v>100</v>
      </c>
      <c r="C12" s="202"/>
      <c r="D12" s="202"/>
      <c r="E12" s="202"/>
      <c r="F12" s="202"/>
      <c r="G12" s="202"/>
      <c r="H12" s="202"/>
      <c r="I12" s="204">
        <v>0</v>
      </c>
      <c r="J12" s="204"/>
      <c r="K12" s="204"/>
      <c r="L12" s="204"/>
      <c r="M12" s="204"/>
    </row>
    <row r="13" spans="2:25" ht="15.75" customHeight="1" x14ac:dyDescent="0.25">
      <c r="B13" s="202" t="s">
        <v>101</v>
      </c>
      <c r="C13" s="202"/>
      <c r="D13" s="202"/>
      <c r="E13" s="202"/>
      <c r="I13" s="204">
        <v>0</v>
      </c>
      <c r="J13" s="204"/>
      <c r="K13" s="204"/>
      <c r="L13" s="204"/>
      <c r="M13" s="204"/>
      <c r="N13" s="202" t="s">
        <v>102</v>
      </c>
      <c r="O13" s="202"/>
      <c r="P13" s="197">
        <v>0</v>
      </c>
      <c r="Q13" s="197"/>
      <c r="R13" s="197" t="s">
        <v>103</v>
      </c>
      <c r="S13" s="197"/>
      <c r="T13" s="203"/>
      <c r="U13" s="203"/>
      <c r="V13" s="203"/>
      <c r="W13" s="159"/>
      <c r="X13" s="159"/>
      <c r="Y13" s="159"/>
    </row>
    <row r="14" spans="2:25" ht="18.75" x14ac:dyDescent="0.25">
      <c r="B14" s="208" t="s">
        <v>104</v>
      </c>
      <c r="C14" s="208"/>
      <c r="D14" s="208"/>
      <c r="E14" s="208"/>
      <c r="F14" s="208"/>
      <c r="G14" s="208"/>
      <c r="H14" s="208"/>
      <c r="I14" s="208"/>
      <c r="J14" s="208"/>
      <c r="K14" s="208"/>
      <c r="L14" s="208"/>
      <c r="M14" s="208"/>
      <c r="N14" s="208"/>
      <c r="O14" s="208"/>
      <c r="P14" s="208"/>
      <c r="Q14" s="208"/>
      <c r="R14" s="208"/>
      <c r="S14" s="208"/>
      <c r="T14" s="208"/>
      <c r="U14" s="208"/>
      <c r="V14" s="208"/>
    </row>
    <row r="15" spans="2:25" x14ac:dyDescent="0.25">
      <c r="B15" s="158" t="s">
        <v>105</v>
      </c>
      <c r="C15" s="158"/>
      <c r="D15" s="161"/>
      <c r="E15" s="161"/>
      <c r="F15" s="161"/>
      <c r="G15" s="161"/>
      <c r="H15" s="161"/>
      <c r="I15" s="161"/>
      <c r="J15" s="161"/>
      <c r="K15" s="161"/>
      <c r="L15" s="161"/>
      <c r="M15" s="161"/>
      <c r="N15" s="161"/>
      <c r="O15" s="161"/>
      <c r="P15" s="161"/>
      <c r="Q15" s="161"/>
      <c r="R15" s="161"/>
      <c r="S15" s="161"/>
      <c r="T15" s="161"/>
      <c r="U15" s="161"/>
      <c r="V15" s="161"/>
    </row>
    <row r="16" spans="2:25" x14ac:dyDescent="0.25">
      <c r="B16" s="162"/>
      <c r="C16" s="162"/>
      <c r="D16" s="162"/>
      <c r="E16" s="162"/>
      <c r="F16" s="162"/>
      <c r="G16" s="162"/>
      <c r="H16" s="162"/>
      <c r="I16" s="162"/>
      <c r="J16" s="162"/>
      <c r="K16" s="162"/>
      <c r="L16" s="162"/>
      <c r="M16" s="162"/>
      <c r="N16" s="162"/>
      <c r="O16" s="161"/>
      <c r="P16" s="161"/>
      <c r="Q16" s="161"/>
      <c r="R16" s="161"/>
      <c r="S16" s="161"/>
      <c r="T16" s="161"/>
      <c r="U16" s="161"/>
      <c r="V16" s="161"/>
    </row>
    <row r="17" spans="2:23" x14ac:dyDescent="0.25">
      <c r="B17" s="158" t="s">
        <v>106</v>
      </c>
      <c r="C17" s="163"/>
      <c r="D17" s="161"/>
      <c r="E17" s="161"/>
      <c r="F17" s="161"/>
      <c r="G17" s="161"/>
      <c r="H17" s="161"/>
      <c r="I17" s="161"/>
      <c r="J17" s="161"/>
      <c r="K17" s="161"/>
      <c r="L17" s="161"/>
      <c r="M17" s="161"/>
      <c r="N17" s="161"/>
      <c r="O17" s="161"/>
      <c r="P17" s="161"/>
      <c r="Q17" s="161"/>
      <c r="R17" s="161"/>
      <c r="S17" s="161"/>
      <c r="T17" s="161"/>
      <c r="U17" s="161"/>
      <c r="V17" s="161"/>
    </row>
    <row r="18" spans="2:23" x14ac:dyDescent="0.25">
      <c r="B18" s="164"/>
      <c r="C18" s="164"/>
      <c r="D18" s="162"/>
      <c r="E18" s="162"/>
      <c r="F18" s="162"/>
      <c r="G18" s="162"/>
      <c r="H18" s="162"/>
      <c r="I18" s="162"/>
      <c r="J18" s="162"/>
      <c r="K18" s="162"/>
      <c r="L18" s="162"/>
      <c r="M18" s="162"/>
      <c r="N18" s="162"/>
      <c r="O18" s="162"/>
      <c r="P18" s="162"/>
      <c r="Q18" s="162"/>
      <c r="R18" s="162"/>
      <c r="S18" s="162"/>
      <c r="T18" s="161"/>
      <c r="U18" s="161"/>
      <c r="V18" s="161"/>
    </row>
    <row r="19" spans="2:23" x14ac:dyDescent="0.25">
      <c r="B19" s="165"/>
      <c r="C19" s="165"/>
      <c r="D19" s="166"/>
      <c r="E19" s="166"/>
      <c r="F19" s="166"/>
      <c r="G19" s="166"/>
      <c r="H19" s="166"/>
      <c r="I19" s="166"/>
      <c r="J19" s="166"/>
      <c r="K19" s="166"/>
      <c r="L19" s="166"/>
      <c r="M19" s="166"/>
      <c r="N19" s="166"/>
      <c r="O19" s="166"/>
      <c r="P19" s="166"/>
      <c r="Q19" s="166"/>
      <c r="R19" s="166"/>
      <c r="S19" s="166"/>
      <c r="T19" s="161"/>
      <c r="U19" s="161"/>
      <c r="V19" s="161"/>
    </row>
    <row r="20" spans="2:23" x14ac:dyDescent="0.25">
      <c r="B20" s="158" t="s">
        <v>110</v>
      </c>
      <c r="C20" s="165"/>
      <c r="D20" s="166"/>
      <c r="E20" s="166"/>
      <c r="F20" s="166"/>
      <c r="G20" s="166"/>
      <c r="H20" s="166"/>
      <c r="I20" s="166"/>
      <c r="J20" s="166"/>
      <c r="K20" s="166"/>
      <c r="L20" s="166"/>
      <c r="M20" s="166"/>
      <c r="N20" s="166"/>
      <c r="O20" s="166"/>
      <c r="P20" s="166"/>
      <c r="Q20" s="166"/>
      <c r="R20" s="166"/>
      <c r="S20" s="166"/>
      <c r="T20" s="161"/>
      <c r="U20" s="161"/>
      <c r="V20" s="161"/>
    </row>
    <row r="21" spans="2:23" x14ac:dyDescent="0.25">
      <c r="B21" s="205"/>
      <c r="C21" s="206"/>
      <c r="D21" s="206"/>
      <c r="E21" s="206"/>
      <c r="F21" s="206"/>
      <c r="G21" s="206"/>
      <c r="H21" s="206"/>
      <c r="I21" s="207"/>
      <c r="J21" s="183"/>
      <c r="K21" s="166"/>
      <c r="L21" s="166"/>
      <c r="M21" s="166"/>
      <c r="N21" s="166"/>
      <c r="O21" s="166"/>
      <c r="P21" s="166"/>
      <c r="Q21" s="166"/>
      <c r="R21" s="166"/>
      <c r="S21" s="166"/>
      <c r="T21" s="161"/>
      <c r="U21" s="161"/>
      <c r="V21" s="161"/>
    </row>
    <row r="22" spans="2:23" x14ac:dyDescent="0.25">
      <c r="B22" s="158" t="s">
        <v>107</v>
      </c>
      <c r="C22" s="165"/>
      <c r="D22" s="166"/>
      <c r="E22" s="166"/>
      <c r="F22" s="166"/>
      <c r="G22" s="166"/>
      <c r="H22" s="161"/>
      <c r="I22" s="161"/>
      <c r="J22" s="161"/>
      <c r="K22" s="161"/>
      <c r="L22" s="161"/>
      <c r="M22" s="166" t="s">
        <v>108</v>
      </c>
      <c r="N22" s="166"/>
      <c r="O22" s="166"/>
      <c r="P22" s="166"/>
      <c r="Q22" s="166"/>
      <c r="R22" s="166"/>
      <c r="S22" s="166"/>
      <c r="T22" s="166"/>
      <c r="U22" s="166" t="s">
        <v>109</v>
      </c>
      <c r="V22" s="166"/>
    </row>
    <row r="23" spans="2:23" x14ac:dyDescent="0.25">
      <c r="B23" s="205"/>
      <c r="C23" s="206"/>
      <c r="D23" s="206"/>
      <c r="E23" s="206"/>
      <c r="F23" s="206"/>
      <c r="G23" s="206"/>
      <c r="H23" s="206"/>
      <c r="I23" s="207"/>
      <c r="J23" s="184"/>
      <c r="K23" s="199"/>
      <c r="L23" s="200"/>
      <c r="M23" s="200"/>
      <c r="N23" s="200"/>
      <c r="O23" s="200"/>
      <c r="P23" s="200"/>
      <c r="Q23" s="200"/>
      <c r="R23" s="201"/>
      <c r="S23" s="166"/>
      <c r="T23" s="199"/>
      <c r="U23" s="200"/>
      <c r="V23" s="201"/>
    </row>
    <row r="24" spans="2:23" ht="19.5" customHeight="1" x14ac:dyDescent="0.25">
      <c r="B24" s="165"/>
      <c r="C24" s="165"/>
      <c r="D24" s="166"/>
      <c r="E24" s="166"/>
      <c r="F24" s="166"/>
      <c r="G24" s="166"/>
      <c r="H24" s="166"/>
      <c r="I24" s="166"/>
      <c r="J24" s="166"/>
      <c r="K24" s="166"/>
      <c r="L24" s="166"/>
      <c r="M24" s="166"/>
      <c r="N24" s="166"/>
      <c r="O24" s="166"/>
      <c r="P24" s="166"/>
      <c r="Q24" s="166"/>
      <c r="R24" s="166"/>
      <c r="S24" s="166"/>
      <c r="T24" s="161"/>
      <c r="U24" s="161"/>
      <c r="V24" s="161"/>
    </row>
    <row r="25" spans="2:23" x14ac:dyDescent="0.25">
      <c r="B25" s="158" t="s">
        <v>111</v>
      </c>
      <c r="C25" s="165"/>
      <c r="D25" s="166"/>
      <c r="E25" s="166"/>
      <c r="F25" s="166"/>
      <c r="G25" s="166"/>
      <c r="H25" s="161"/>
      <c r="I25" s="161"/>
      <c r="J25" s="161"/>
      <c r="K25" s="161"/>
      <c r="L25" s="161"/>
      <c r="M25" s="161"/>
      <c r="N25" s="166"/>
      <c r="O25" s="166"/>
      <c r="P25" s="166"/>
      <c r="Q25" s="166"/>
      <c r="R25" s="166"/>
      <c r="S25" s="166"/>
      <c r="T25" s="166" t="s">
        <v>112</v>
      </c>
      <c r="U25" s="166"/>
      <c r="V25" s="166"/>
      <c r="W25" s="160"/>
    </row>
    <row r="26" spans="2:23" x14ac:dyDescent="0.25">
      <c r="B26" s="205"/>
      <c r="C26" s="206"/>
      <c r="D26" s="206"/>
      <c r="E26" s="206"/>
      <c r="F26" s="206"/>
      <c r="G26" s="206"/>
      <c r="H26" s="206"/>
      <c r="I26" s="206"/>
      <c r="J26" s="206"/>
      <c r="K26" s="206"/>
      <c r="L26" s="206"/>
      <c r="M26" s="206"/>
      <c r="N26" s="206"/>
      <c r="O26" s="206"/>
      <c r="P26" s="206"/>
      <c r="Q26" s="207"/>
      <c r="R26" s="166"/>
      <c r="S26" s="166"/>
      <c r="T26" s="199"/>
      <c r="U26" s="200"/>
      <c r="V26" s="201"/>
      <c r="W26" s="160"/>
    </row>
    <row r="27" spans="2:23" ht="19.5" customHeight="1" x14ac:dyDescent="0.25">
      <c r="B27" s="165"/>
      <c r="C27" s="165"/>
      <c r="D27" s="166"/>
      <c r="E27" s="166"/>
      <c r="F27" s="166"/>
      <c r="G27" s="166"/>
      <c r="H27" s="166"/>
      <c r="I27" s="166"/>
      <c r="J27" s="166"/>
      <c r="K27" s="166"/>
      <c r="L27" s="166"/>
      <c r="M27" s="166"/>
      <c r="N27" s="166"/>
      <c r="O27" s="166"/>
      <c r="P27" s="166"/>
      <c r="Q27" s="166"/>
      <c r="R27" s="166"/>
      <c r="S27" s="166"/>
      <c r="T27" s="161"/>
      <c r="U27" s="161"/>
      <c r="V27" s="161"/>
    </row>
    <row r="28" spans="2:23" x14ac:dyDescent="0.25">
      <c r="B28" s="158" t="s">
        <v>113</v>
      </c>
      <c r="C28" s="161"/>
      <c r="D28" s="161"/>
      <c r="E28" s="161"/>
      <c r="F28" s="161"/>
      <c r="G28" s="161"/>
      <c r="H28" s="161"/>
      <c r="I28" s="161" t="s">
        <v>114</v>
      </c>
      <c r="J28" s="161"/>
      <c r="K28" s="161"/>
      <c r="L28" s="161"/>
      <c r="M28" s="161"/>
      <c r="N28" s="161" t="s">
        <v>115</v>
      </c>
      <c r="O28" s="161"/>
      <c r="P28" s="161"/>
      <c r="Q28" s="161"/>
      <c r="R28" s="161"/>
      <c r="S28" s="161"/>
      <c r="T28" s="161" t="s">
        <v>116</v>
      </c>
      <c r="U28" s="161"/>
      <c r="V28" s="161"/>
    </row>
    <row r="29" spans="2:23" x14ac:dyDescent="0.25">
      <c r="B29" s="199"/>
      <c r="C29" s="200"/>
      <c r="D29" s="200"/>
      <c r="E29" s="200"/>
      <c r="F29" s="200"/>
      <c r="G29" s="201"/>
      <c r="H29" s="161"/>
      <c r="I29" s="199"/>
      <c r="J29" s="200"/>
      <c r="K29" s="200"/>
      <c r="L29" s="201"/>
      <c r="M29" s="161"/>
      <c r="N29" s="199"/>
      <c r="O29" s="200"/>
      <c r="P29" s="200"/>
      <c r="Q29" s="201"/>
      <c r="R29" s="161"/>
      <c r="S29" s="161"/>
      <c r="T29" s="199"/>
      <c r="U29" s="200"/>
      <c r="V29" s="201"/>
    </row>
    <row r="30" spans="2:23" x14ac:dyDescent="0.25">
      <c r="B30" s="161"/>
      <c r="C30" s="161"/>
      <c r="D30" s="161"/>
      <c r="E30" s="161"/>
      <c r="F30" s="161"/>
      <c r="G30" s="161"/>
      <c r="H30" s="161"/>
      <c r="I30" s="161"/>
      <c r="J30" s="161"/>
      <c r="K30" s="161"/>
      <c r="L30" s="161"/>
      <c r="M30" s="161"/>
      <c r="N30" s="161"/>
      <c r="O30" s="161"/>
      <c r="P30" s="161"/>
      <c r="Q30" s="161"/>
      <c r="R30" s="161"/>
      <c r="S30" s="161"/>
      <c r="T30" s="161"/>
      <c r="U30" s="161"/>
      <c r="V30" s="161"/>
    </row>
    <row r="31" spans="2:23" ht="18.75" x14ac:dyDescent="0.25">
      <c r="B31" s="208" t="s">
        <v>117</v>
      </c>
      <c r="C31" s="208"/>
      <c r="D31" s="208"/>
      <c r="E31" s="208"/>
      <c r="F31" s="208"/>
      <c r="G31" s="208"/>
      <c r="H31" s="208"/>
      <c r="I31" s="208"/>
      <c r="J31" s="208"/>
      <c r="K31" s="208"/>
      <c r="L31" s="208"/>
      <c r="M31" s="208"/>
      <c r="N31" s="208"/>
      <c r="O31" s="208"/>
      <c r="P31" s="208"/>
      <c r="Q31" s="208"/>
      <c r="R31" s="208"/>
      <c r="S31" s="208"/>
      <c r="T31" s="208"/>
      <c r="U31" s="208"/>
      <c r="V31" s="208"/>
    </row>
    <row r="33" spans="2:23" x14ac:dyDescent="0.25">
      <c r="B33" s="158" t="s">
        <v>117</v>
      </c>
      <c r="C33" s="165"/>
      <c r="D33" s="166"/>
      <c r="E33" s="166"/>
      <c r="F33" s="166"/>
      <c r="G33" s="166"/>
      <c r="H33" s="161"/>
      <c r="I33" s="161"/>
      <c r="J33" s="161"/>
      <c r="K33" s="161"/>
      <c r="L33" s="161"/>
      <c r="M33" s="161"/>
      <c r="N33" s="166"/>
      <c r="O33" s="166"/>
      <c r="P33" s="166"/>
      <c r="Q33" s="166"/>
      <c r="R33" s="166"/>
      <c r="S33" s="166"/>
      <c r="T33" s="166" t="s">
        <v>118</v>
      </c>
      <c r="U33" s="166"/>
      <c r="V33" s="166"/>
      <c r="W33" s="160"/>
    </row>
    <row r="34" spans="2:23" x14ac:dyDescent="0.25">
      <c r="B34" s="205"/>
      <c r="C34" s="206"/>
      <c r="D34" s="206"/>
      <c r="E34" s="206"/>
      <c r="F34" s="206"/>
      <c r="G34" s="206"/>
      <c r="H34" s="206"/>
      <c r="I34" s="206"/>
      <c r="J34" s="206"/>
      <c r="K34" s="206"/>
      <c r="L34" s="206"/>
      <c r="M34" s="206"/>
      <c r="N34" s="206"/>
      <c r="O34" s="206"/>
      <c r="P34" s="206"/>
      <c r="Q34" s="207"/>
      <c r="R34" s="166"/>
      <c r="S34" s="166"/>
      <c r="T34" s="199"/>
      <c r="U34" s="200"/>
      <c r="V34" s="201"/>
      <c r="W34" s="160"/>
    </row>
    <row r="36" spans="2:23" x14ac:dyDescent="0.25">
      <c r="B36" s="161" t="s">
        <v>119</v>
      </c>
    </row>
    <row r="37" spans="2:23" x14ac:dyDescent="0.25">
      <c r="B37" s="212"/>
      <c r="C37" s="213"/>
      <c r="D37" s="213"/>
      <c r="E37" s="213"/>
      <c r="F37" s="213"/>
      <c r="G37" s="213"/>
      <c r="H37" s="213"/>
      <c r="I37" s="213"/>
      <c r="J37" s="213"/>
      <c r="K37" s="213"/>
      <c r="L37" s="213"/>
      <c r="M37" s="213"/>
      <c r="N37" s="213"/>
      <c r="O37" s="213"/>
      <c r="P37" s="213"/>
      <c r="Q37" s="213"/>
      <c r="R37" s="213"/>
      <c r="S37" s="213"/>
      <c r="T37" s="213"/>
      <c r="U37" s="213"/>
      <c r="V37" s="214"/>
    </row>
    <row r="39" spans="2:23" ht="18.75" x14ac:dyDescent="0.25">
      <c r="B39" s="208" t="s">
        <v>120</v>
      </c>
      <c r="C39" s="208"/>
      <c r="D39" s="208"/>
      <c r="E39" s="208"/>
      <c r="F39" s="208"/>
      <c r="G39" s="208"/>
      <c r="H39" s="208"/>
      <c r="I39" s="208"/>
      <c r="J39" s="208"/>
      <c r="K39" s="208"/>
      <c r="L39" s="208"/>
      <c r="M39" s="208"/>
      <c r="N39" s="208"/>
      <c r="O39" s="208"/>
      <c r="P39" s="208"/>
      <c r="Q39" s="208"/>
      <c r="R39" s="208"/>
      <c r="S39" s="208"/>
      <c r="T39" s="208"/>
      <c r="U39" s="208"/>
      <c r="V39" s="208"/>
    </row>
    <row r="41" spans="2:23" x14ac:dyDescent="0.25">
      <c r="B41" s="161" t="s">
        <v>132</v>
      </c>
      <c r="U41" s="210">
        <v>0</v>
      </c>
      <c r="V41" s="211"/>
    </row>
    <row r="42" spans="2:23" x14ac:dyDescent="0.25">
      <c r="B42" s="168" t="s">
        <v>121</v>
      </c>
      <c r="C42" s="168"/>
      <c r="D42" s="168"/>
      <c r="E42" s="168"/>
      <c r="F42" s="168"/>
      <c r="G42" s="168"/>
      <c r="H42" s="168"/>
      <c r="I42" s="168"/>
      <c r="J42" s="168"/>
      <c r="K42" s="168"/>
      <c r="L42" s="168"/>
      <c r="M42" s="168"/>
      <c r="N42" s="168"/>
    </row>
    <row r="43" spans="2:23" x14ac:dyDescent="0.25">
      <c r="B43" s="209" t="s">
        <v>122</v>
      </c>
      <c r="C43" s="209"/>
      <c r="D43" s="209"/>
      <c r="E43" s="209"/>
      <c r="F43" s="209"/>
      <c r="G43" s="209"/>
      <c r="H43" s="209"/>
      <c r="I43" s="209"/>
      <c r="J43" s="209"/>
      <c r="K43" s="209"/>
      <c r="L43" s="209"/>
      <c r="M43" s="209"/>
      <c r="N43" s="209"/>
      <c r="O43" s="209"/>
      <c r="P43" s="209"/>
      <c r="Q43" s="209"/>
      <c r="R43" s="209"/>
      <c r="S43" s="209"/>
      <c r="T43" s="209"/>
    </row>
    <row r="44" spans="2:23" x14ac:dyDescent="0.25">
      <c r="B44" s="161" t="s">
        <v>123</v>
      </c>
      <c r="U44" s="210">
        <v>0</v>
      </c>
      <c r="V44" s="211"/>
    </row>
    <row r="45" spans="2:23" x14ac:dyDescent="0.25">
      <c r="B45" s="168" t="s">
        <v>124</v>
      </c>
      <c r="C45" s="167"/>
    </row>
    <row r="46" spans="2:23" x14ac:dyDescent="0.25">
      <c r="B46" s="161" t="s">
        <v>135</v>
      </c>
      <c r="U46" s="215">
        <v>0</v>
      </c>
      <c r="V46" s="216"/>
    </row>
    <row r="47" spans="2:23" x14ac:dyDescent="0.25">
      <c r="U47" s="160"/>
      <c r="V47" s="160"/>
    </row>
    <row r="48" spans="2:23" s="182" customFormat="1" x14ac:dyDescent="0.25">
      <c r="B48" s="181" t="s">
        <v>125</v>
      </c>
      <c r="U48" s="217">
        <v>0</v>
      </c>
      <c r="V48" s="218"/>
    </row>
    <row r="49" spans="2:22" x14ac:dyDescent="0.25">
      <c r="U49" s="160"/>
      <c r="V49" s="160"/>
    </row>
    <row r="50" spans="2:22" x14ac:dyDescent="0.25">
      <c r="B50" s="161" t="s">
        <v>126</v>
      </c>
      <c r="U50" s="210">
        <v>0</v>
      </c>
      <c r="V50" s="211"/>
    </row>
    <row r="51" spans="2:22" x14ac:dyDescent="0.25">
      <c r="B51" s="168" t="s">
        <v>127</v>
      </c>
      <c r="C51" s="167"/>
    </row>
    <row r="52" spans="2:22" x14ac:dyDescent="0.25">
      <c r="B52" s="161" t="s">
        <v>128</v>
      </c>
      <c r="U52" s="210">
        <v>0</v>
      </c>
      <c r="V52" s="211"/>
    </row>
    <row r="53" spans="2:22" x14ac:dyDescent="0.25">
      <c r="B53" s="168" t="s">
        <v>129</v>
      </c>
    </row>
    <row r="54" spans="2:22" x14ac:dyDescent="0.25">
      <c r="B54" s="161" t="s">
        <v>130</v>
      </c>
      <c r="U54" s="210">
        <v>0</v>
      </c>
      <c r="V54" s="211"/>
    </row>
    <row r="57" spans="2:22" x14ac:dyDescent="0.25">
      <c r="B57" s="161" t="s">
        <v>131</v>
      </c>
      <c r="U57" s="219">
        <v>0</v>
      </c>
      <c r="V57" s="220"/>
    </row>
    <row r="60" spans="2:22" ht="18.75" x14ac:dyDescent="0.25">
      <c r="B60" s="208" t="s">
        <v>133</v>
      </c>
      <c r="C60" s="208"/>
      <c r="D60" s="208"/>
      <c r="E60" s="208"/>
      <c r="F60" s="208"/>
      <c r="G60" s="208"/>
      <c r="H60" s="208"/>
      <c r="I60" s="208"/>
      <c r="J60" s="208"/>
      <c r="K60" s="208"/>
      <c r="L60" s="208"/>
      <c r="M60" s="208"/>
      <c r="N60" s="208"/>
      <c r="O60" s="208"/>
      <c r="P60" s="208"/>
      <c r="Q60" s="208"/>
      <c r="R60" s="208"/>
      <c r="S60" s="208"/>
      <c r="T60" s="208"/>
      <c r="U60" s="208"/>
      <c r="V60" s="208"/>
    </row>
    <row r="62" spans="2:22" x14ac:dyDescent="0.25">
      <c r="B62" s="161" t="s">
        <v>140</v>
      </c>
      <c r="U62" s="210">
        <v>0</v>
      </c>
      <c r="V62" s="211"/>
    </row>
    <row r="63" spans="2:22" x14ac:dyDescent="0.25">
      <c r="B63" s="168" t="s">
        <v>141</v>
      </c>
    </row>
    <row r="64" spans="2:22" x14ac:dyDescent="0.25">
      <c r="B64" s="161" t="s">
        <v>142</v>
      </c>
      <c r="U64" s="210">
        <v>0</v>
      </c>
      <c r="V64" s="211"/>
    </row>
    <row r="65" spans="2:22" x14ac:dyDescent="0.25">
      <c r="B65" s="168" t="s">
        <v>141</v>
      </c>
    </row>
    <row r="66" spans="2:22" x14ac:dyDescent="0.25">
      <c r="B66" s="161" t="s">
        <v>143</v>
      </c>
      <c r="U66" s="210">
        <v>0</v>
      </c>
      <c r="V66" s="211"/>
    </row>
    <row r="67" spans="2:22" x14ac:dyDescent="0.25">
      <c r="B67" s="168" t="s">
        <v>141</v>
      </c>
    </row>
    <row r="68" spans="2:22" x14ac:dyDescent="0.25">
      <c r="B68" s="161" t="s">
        <v>144</v>
      </c>
      <c r="U68" s="210">
        <v>0</v>
      </c>
      <c r="V68" s="211"/>
    </row>
    <row r="69" spans="2:22" x14ac:dyDescent="0.25">
      <c r="B69" s="168" t="s">
        <v>141</v>
      </c>
      <c r="U69" s="180"/>
      <c r="V69" s="180"/>
    </row>
    <row r="70" spans="2:22" x14ac:dyDescent="0.25">
      <c r="B70" s="161" t="s">
        <v>145</v>
      </c>
      <c r="U70" s="215">
        <v>0</v>
      </c>
      <c r="V70" s="216"/>
    </row>
    <row r="71" spans="2:22" x14ac:dyDescent="0.25">
      <c r="B71" s="168" t="s">
        <v>141</v>
      </c>
    </row>
    <row r="72" spans="2:22" x14ac:dyDescent="0.25">
      <c r="B72" s="161" t="s">
        <v>134</v>
      </c>
      <c r="U72" s="210">
        <v>0</v>
      </c>
      <c r="V72" s="211"/>
    </row>
    <row r="73" spans="2:22" x14ac:dyDescent="0.25">
      <c r="B73" s="168"/>
    </row>
    <row r="74" spans="2:22" x14ac:dyDescent="0.25">
      <c r="B74" s="161" t="s">
        <v>136</v>
      </c>
      <c r="U74" s="219">
        <f>+U72+U70+U68+U66+U64+U62</f>
        <v>0</v>
      </c>
      <c r="V74" s="220"/>
    </row>
    <row r="75" spans="2:22" x14ac:dyDescent="0.25">
      <c r="B75" s="168"/>
      <c r="U75" s="179"/>
      <c r="V75" s="179"/>
    </row>
    <row r="77" spans="2:22" ht="18.75" x14ac:dyDescent="0.25">
      <c r="B77" s="208" t="s">
        <v>137</v>
      </c>
      <c r="C77" s="208"/>
      <c r="D77" s="208"/>
      <c r="E77" s="208"/>
      <c r="F77" s="208"/>
      <c r="G77" s="208"/>
      <c r="H77" s="208"/>
      <c r="I77" s="208"/>
      <c r="J77" s="208"/>
      <c r="K77" s="208"/>
      <c r="L77" s="208"/>
      <c r="M77" s="208"/>
      <c r="N77" s="208"/>
      <c r="O77" s="208"/>
      <c r="P77" s="208"/>
      <c r="Q77" s="208"/>
      <c r="R77" s="208"/>
      <c r="S77" s="208"/>
      <c r="T77" s="208"/>
      <c r="U77" s="208"/>
      <c r="V77" s="208"/>
    </row>
    <row r="79" spans="2:22" x14ac:dyDescent="0.25">
      <c r="B79" s="161" t="s">
        <v>137</v>
      </c>
      <c r="U79" s="219">
        <f>+U57-U74</f>
        <v>0</v>
      </c>
      <c r="V79" s="220"/>
    </row>
    <row r="82" spans="2:22" x14ac:dyDescent="0.25">
      <c r="B82" s="160"/>
      <c r="C82" s="160"/>
      <c r="D82" s="160"/>
      <c r="E82" s="160"/>
      <c r="F82" s="160"/>
      <c r="G82" s="160"/>
      <c r="H82" s="160"/>
      <c r="I82" s="160"/>
      <c r="J82" s="160"/>
      <c r="K82" s="160"/>
      <c r="L82" s="160"/>
      <c r="M82" s="160"/>
      <c r="N82" s="160"/>
      <c r="O82" s="160"/>
      <c r="P82" s="160"/>
      <c r="Q82" s="160"/>
      <c r="R82" s="160"/>
      <c r="S82" s="160"/>
      <c r="T82" s="160"/>
      <c r="U82" s="160"/>
      <c r="V82" s="160"/>
    </row>
    <row r="83" spans="2:22" x14ac:dyDescent="0.25">
      <c r="B83" s="221" t="s">
        <v>163</v>
      </c>
      <c r="C83" s="221"/>
      <c r="D83" s="221"/>
      <c r="E83" s="221"/>
      <c r="F83" s="221"/>
      <c r="G83" s="221"/>
      <c r="H83" s="221"/>
      <c r="I83" s="221"/>
      <c r="J83" s="221"/>
      <c r="K83" s="221"/>
      <c r="L83" s="221"/>
      <c r="M83" s="221"/>
      <c r="N83" s="221"/>
      <c r="O83" s="221"/>
      <c r="P83" s="221"/>
      <c r="Q83" s="221"/>
      <c r="R83" s="221"/>
      <c r="S83" s="221"/>
      <c r="T83" s="221"/>
      <c r="U83" s="221"/>
      <c r="V83" s="221"/>
    </row>
    <row r="84" spans="2:22" x14ac:dyDescent="0.25">
      <c r="B84" s="221"/>
      <c r="C84" s="221"/>
      <c r="D84" s="221"/>
      <c r="E84" s="221"/>
      <c r="F84" s="221"/>
      <c r="G84" s="221"/>
      <c r="H84" s="221"/>
      <c r="I84" s="221"/>
      <c r="J84" s="221"/>
      <c r="K84" s="221"/>
      <c r="L84" s="221"/>
      <c r="M84" s="221"/>
      <c r="N84" s="221"/>
      <c r="O84" s="221"/>
      <c r="P84" s="221"/>
      <c r="Q84" s="221"/>
      <c r="R84" s="221"/>
      <c r="S84" s="221"/>
      <c r="T84" s="221"/>
      <c r="U84" s="221"/>
      <c r="V84" s="221"/>
    </row>
    <row r="85" spans="2:22" x14ac:dyDescent="0.25">
      <c r="H85" s="156" t="s">
        <v>164</v>
      </c>
    </row>
  </sheetData>
  <mergeCells count="45">
    <mergeCell ref="U66:V66"/>
    <mergeCell ref="U68:V68"/>
    <mergeCell ref="U70:V70"/>
    <mergeCell ref="B83:V84"/>
    <mergeCell ref="U72:V72"/>
    <mergeCell ref="U74:V74"/>
    <mergeCell ref="B77:V77"/>
    <mergeCell ref="U79:V79"/>
    <mergeCell ref="B23:I23"/>
    <mergeCell ref="U62:V62"/>
    <mergeCell ref="U64:V64"/>
    <mergeCell ref="T26:V26"/>
    <mergeCell ref="B29:G29"/>
    <mergeCell ref="N29:Q29"/>
    <mergeCell ref="B60:V60"/>
    <mergeCell ref="U46:V46"/>
    <mergeCell ref="U44:V44"/>
    <mergeCell ref="U48:V48"/>
    <mergeCell ref="U50:V50"/>
    <mergeCell ref="U52:V52"/>
    <mergeCell ref="U54:V54"/>
    <mergeCell ref="U57:V57"/>
    <mergeCell ref="B31:V31"/>
    <mergeCell ref="B39:V39"/>
    <mergeCell ref="B43:T43"/>
    <mergeCell ref="U41:V41"/>
    <mergeCell ref="B34:Q34"/>
    <mergeCell ref="B37:V37"/>
    <mergeCell ref="T34:V34"/>
    <mergeCell ref="P13:Q13"/>
    <mergeCell ref="F11:H11"/>
    <mergeCell ref="T29:V29"/>
    <mergeCell ref="B12:H12"/>
    <mergeCell ref="B13:E13"/>
    <mergeCell ref="N13:O13"/>
    <mergeCell ref="R13:S13"/>
    <mergeCell ref="T13:V13"/>
    <mergeCell ref="I12:M12"/>
    <mergeCell ref="I13:M13"/>
    <mergeCell ref="K23:R23"/>
    <mergeCell ref="T23:V23"/>
    <mergeCell ref="B26:Q26"/>
    <mergeCell ref="B14:V14"/>
    <mergeCell ref="B21:I21"/>
    <mergeCell ref="I29:L29"/>
  </mergeCells>
  <pageMargins left="0.7" right="0.7" top="0.75" bottom="0.75" header="0.3" footer="0.3"/>
  <pageSetup scale="51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>
    <pageSetUpPr autoPageBreaks="0" fitToPage="1"/>
  </sheetPr>
  <dimension ref="A1:SP581"/>
  <sheetViews>
    <sheetView showGridLines="0" showRowColHeaders="0" view="pageLayout" topLeftCell="D37" zoomScaleNormal="80" workbookViewId="0">
      <selection activeCell="D4" sqref="D4"/>
    </sheetView>
  </sheetViews>
  <sheetFormatPr baseColWidth="10" defaultRowHeight="18.75" x14ac:dyDescent="0.3"/>
  <cols>
    <col min="1" max="1" width="5.7109375" style="23" hidden="1" customWidth="1"/>
    <col min="2" max="2" width="34.85546875" style="24" bestFit="1" customWidth="1"/>
    <col min="3" max="3" width="7" style="25" bestFit="1" customWidth="1"/>
    <col min="4" max="4" width="10.7109375" style="26" customWidth="1"/>
    <col min="5" max="5" width="3.7109375" style="50" customWidth="1"/>
    <col min="6" max="6" width="58.28515625" style="24" bestFit="1" customWidth="1"/>
    <col min="7" max="7" width="13" style="25" bestFit="1" customWidth="1"/>
    <col min="8" max="8" width="3.7109375" style="50" customWidth="1"/>
    <col min="9" max="9" width="45.7109375" style="24" customWidth="1"/>
    <col min="10" max="10" width="5.7109375" style="24" customWidth="1"/>
    <col min="11" max="12" width="7.5703125" style="50" bestFit="1" customWidth="1"/>
    <col min="13" max="13" width="3.85546875" style="50" bestFit="1" customWidth="1"/>
    <col min="14" max="510" width="11.42578125" style="50"/>
    <col min="511" max="16384" width="11.42578125" style="24"/>
  </cols>
  <sheetData>
    <row r="1" spans="1:10" s="50" customFormat="1" ht="62.25" thickBot="1" x14ac:dyDescent="0.95">
      <c r="A1" s="51"/>
      <c r="B1" s="227" t="s">
        <v>85</v>
      </c>
      <c r="C1" s="227"/>
      <c r="D1" s="227"/>
      <c r="E1" s="227"/>
      <c r="F1" s="227"/>
      <c r="G1" s="227"/>
      <c r="H1" s="227"/>
      <c r="I1" s="227"/>
      <c r="J1" s="227"/>
    </row>
    <row r="2" spans="1:10" ht="20.25" thickTop="1" thickBot="1" x14ac:dyDescent="0.35">
      <c r="A2" s="24"/>
      <c r="B2" s="50"/>
      <c r="C2" s="52"/>
      <c r="D2" s="54"/>
      <c r="F2" s="138" t="s">
        <v>40</v>
      </c>
      <c r="G2" s="138" t="s">
        <v>41</v>
      </c>
      <c r="I2" s="225" t="s">
        <v>68</v>
      </c>
      <c r="J2" s="226"/>
    </row>
    <row r="3" spans="1:10" ht="20.25" thickTop="1" thickBot="1" x14ac:dyDescent="0.35">
      <c r="A3" s="24"/>
      <c r="B3" s="225" t="s">
        <v>99</v>
      </c>
      <c r="C3" s="228"/>
      <c r="D3" s="135">
        <v>0</v>
      </c>
      <c r="F3" s="139"/>
      <c r="G3" s="190" t="s">
        <v>160</v>
      </c>
      <c r="I3" s="28" t="s">
        <v>69</v>
      </c>
      <c r="J3" s="29">
        <v>1</v>
      </c>
    </row>
    <row r="4" spans="1:10" s="50" customFormat="1" ht="20.25" thickTop="1" thickBot="1" x14ac:dyDescent="0.35">
      <c r="B4" s="55"/>
      <c r="C4" s="56"/>
      <c r="D4" s="57"/>
      <c r="G4" s="52"/>
      <c r="I4" s="32" t="s">
        <v>73</v>
      </c>
      <c r="J4" s="33"/>
    </row>
    <row r="5" spans="1:10" ht="20.25" thickTop="1" thickBot="1" x14ac:dyDescent="0.35">
      <c r="A5" s="24"/>
      <c r="B5" s="222" t="s">
        <v>0</v>
      </c>
      <c r="C5" s="223"/>
      <c r="D5" s="224"/>
      <c r="E5" s="52"/>
      <c r="F5" s="225" t="s">
        <v>1</v>
      </c>
      <c r="G5" s="226"/>
      <c r="I5" s="87" t="s">
        <v>71</v>
      </c>
      <c r="J5" s="27">
        <v>0</v>
      </c>
    </row>
    <row r="6" spans="1:10" ht="19.5" thickTop="1" x14ac:dyDescent="0.3">
      <c r="A6" s="24"/>
      <c r="B6" s="140" t="s">
        <v>120</v>
      </c>
      <c r="C6" s="141"/>
      <c r="D6" s="142">
        <f>+declaracion!U57</f>
        <v>0</v>
      </c>
      <c r="F6" s="150" t="s">
        <v>77</v>
      </c>
      <c r="G6" s="144">
        <v>1</v>
      </c>
      <c r="I6" s="30" t="s">
        <v>86</v>
      </c>
      <c r="J6" s="31">
        <v>0</v>
      </c>
    </row>
    <row r="7" spans="1:10" x14ac:dyDescent="0.3">
      <c r="A7" s="24"/>
      <c r="B7" s="143"/>
      <c r="C7" s="144"/>
      <c r="D7" s="145">
        <v>0</v>
      </c>
      <c r="F7" s="150" t="s">
        <v>78</v>
      </c>
      <c r="G7" s="144"/>
      <c r="I7" s="30" t="s">
        <v>87</v>
      </c>
      <c r="J7" s="31">
        <v>0</v>
      </c>
    </row>
    <row r="8" spans="1:10" ht="19.5" thickBot="1" x14ac:dyDescent="0.35">
      <c r="A8" s="24"/>
      <c r="B8" s="146"/>
      <c r="C8" s="147"/>
      <c r="D8" s="148">
        <v>0</v>
      </c>
      <c r="F8" s="151" t="s">
        <v>79</v>
      </c>
      <c r="G8" s="144"/>
      <c r="I8" s="34" t="s">
        <v>70</v>
      </c>
      <c r="J8" s="35">
        <v>0</v>
      </c>
    </row>
    <row r="9" spans="1:10" ht="19.5" thickTop="1" x14ac:dyDescent="0.3">
      <c r="A9" s="24"/>
      <c r="B9" s="59"/>
      <c r="C9" s="136" t="s">
        <v>33</v>
      </c>
      <c r="D9" s="137">
        <f>SUM(D6:D8)</f>
        <v>0</v>
      </c>
      <c r="F9" s="152" t="s">
        <v>2</v>
      </c>
      <c r="G9" s="141"/>
      <c r="I9" s="91" t="s">
        <v>72</v>
      </c>
      <c r="J9" s="92">
        <v>0</v>
      </c>
    </row>
    <row r="10" spans="1:10" ht="19.5" thickBot="1" x14ac:dyDescent="0.35">
      <c r="A10" s="24"/>
      <c r="B10" s="59"/>
      <c r="C10" s="56"/>
      <c r="D10" s="60"/>
      <c r="F10" s="151" t="s">
        <v>3</v>
      </c>
      <c r="G10" s="147">
        <v>1</v>
      </c>
      <c r="I10" s="90" t="s">
        <v>86</v>
      </c>
      <c r="J10" s="93">
        <v>0</v>
      </c>
    </row>
    <row r="11" spans="1:10" ht="19.5" thickTop="1" x14ac:dyDescent="0.3">
      <c r="A11" s="24"/>
      <c r="B11" s="169" t="s">
        <v>67</v>
      </c>
      <c r="C11" s="170">
        <v>0</v>
      </c>
      <c r="D11" s="171">
        <f>'caja negra'!E19</f>
        <v>0</v>
      </c>
      <c r="F11" s="152" t="s">
        <v>4</v>
      </c>
      <c r="G11" s="141">
        <v>1</v>
      </c>
      <c r="I11" s="90" t="s">
        <v>87</v>
      </c>
      <c r="J11" s="93">
        <v>0</v>
      </c>
    </row>
    <row r="12" spans="1:10" ht="19.5" thickBot="1" x14ac:dyDescent="0.35">
      <c r="A12" s="24"/>
      <c r="B12" s="172" t="str">
        <f>+declaracion!B62</f>
        <v>1.- CREDITO HIPOTECARIO</v>
      </c>
      <c r="C12" s="149"/>
      <c r="D12" s="178">
        <f>+declaracion!U62</f>
        <v>0</v>
      </c>
      <c r="F12" s="150" t="s">
        <v>5</v>
      </c>
      <c r="G12" s="144"/>
      <c r="I12" s="94" t="s">
        <v>70</v>
      </c>
      <c r="J12" s="95">
        <v>0</v>
      </c>
    </row>
    <row r="13" spans="1:10" ht="19.5" thickTop="1" x14ac:dyDescent="0.3">
      <c r="A13" s="24"/>
      <c r="B13" s="172" t="str">
        <f>+declaracion!B64</f>
        <v>2.- CREDITO AUTOMOTRIZ</v>
      </c>
      <c r="C13" s="149"/>
      <c r="D13" s="178">
        <f>+declaracion!U64</f>
        <v>0</v>
      </c>
      <c r="F13" s="150" t="s">
        <v>6</v>
      </c>
      <c r="G13" s="144"/>
      <c r="I13" s="36" t="s">
        <v>97</v>
      </c>
      <c r="J13" s="37"/>
    </row>
    <row r="14" spans="1:10" ht="19.5" thickBot="1" x14ac:dyDescent="0.35">
      <c r="A14" s="24"/>
      <c r="B14" s="172" t="str">
        <f>+declaracion!B66</f>
        <v>3.- CREDITOS PERSONALES</v>
      </c>
      <c r="C14" s="149"/>
      <c r="D14" s="178">
        <f>+declaracion!U66</f>
        <v>0</v>
      </c>
      <c r="F14" s="151" t="s">
        <v>7</v>
      </c>
      <c r="G14" s="147"/>
      <c r="I14" s="38" t="s">
        <v>82</v>
      </c>
      <c r="J14" s="39"/>
    </row>
    <row r="15" spans="1:10" ht="20.25" thickTop="1" thickBot="1" x14ac:dyDescent="0.35">
      <c r="A15" s="24"/>
      <c r="B15" s="173" t="str">
        <f>+declaracion!B68</f>
        <v>4.- TARJETAS DE CREDITO</v>
      </c>
      <c r="C15" s="149"/>
      <c r="D15" s="178">
        <f>+declaracion!U68</f>
        <v>0</v>
      </c>
      <c r="F15" s="152" t="s">
        <v>28</v>
      </c>
      <c r="G15" s="141">
        <v>1</v>
      </c>
      <c r="I15" s="40" t="s">
        <v>95</v>
      </c>
      <c r="J15" s="41"/>
    </row>
    <row r="16" spans="1:10" ht="20.25" thickTop="1" thickBot="1" x14ac:dyDescent="0.35">
      <c r="A16" s="24"/>
      <c r="B16" s="173" t="str">
        <f>+declaracion!B70</f>
        <v>5.- TELECOMUNICACIONES</v>
      </c>
      <c r="C16" s="149"/>
      <c r="D16" s="178">
        <f>+declaracion!U70</f>
        <v>0</v>
      </c>
      <c r="F16" s="151" t="s">
        <v>149</v>
      </c>
      <c r="G16" s="147"/>
      <c r="I16" s="42" t="s">
        <v>74</v>
      </c>
      <c r="J16" s="43"/>
    </row>
    <row r="17" spans="1:10" ht="20.25" thickTop="1" thickBot="1" x14ac:dyDescent="0.35">
      <c r="A17" s="24"/>
      <c r="B17" s="172" t="e">
        <f>+declaracion!#REF!</f>
        <v>#REF!</v>
      </c>
      <c r="C17" s="149"/>
      <c r="D17" s="178">
        <f>+declaracion!U70</f>
        <v>0</v>
      </c>
      <c r="F17" s="152" t="s">
        <v>17</v>
      </c>
      <c r="G17" s="141">
        <v>1</v>
      </c>
      <c r="I17" s="44" t="s">
        <v>75</v>
      </c>
      <c r="J17" s="45"/>
    </row>
    <row r="18" spans="1:10" ht="20.25" thickTop="1" thickBot="1" x14ac:dyDescent="0.35">
      <c r="A18" s="24"/>
      <c r="B18" s="172" t="str">
        <f>+declaracion!B72</f>
        <v>7.- OTROS</v>
      </c>
      <c r="C18" s="149"/>
      <c r="D18" s="178">
        <f>+declaracion!U72</f>
        <v>0</v>
      </c>
      <c r="F18" s="151" t="s">
        <v>18</v>
      </c>
      <c r="G18" s="147"/>
      <c r="I18" s="50"/>
      <c r="J18" s="50"/>
    </row>
    <row r="19" spans="1:10" ht="19.5" thickTop="1" x14ac:dyDescent="0.3">
      <c r="A19" s="24"/>
      <c r="B19" s="174"/>
      <c r="C19" s="149"/>
      <c r="D19" s="178">
        <v>0</v>
      </c>
      <c r="F19" s="152" t="s">
        <v>96</v>
      </c>
      <c r="G19" s="141">
        <v>1</v>
      </c>
      <c r="I19" s="50"/>
      <c r="J19" s="50"/>
    </row>
    <row r="20" spans="1:10" x14ac:dyDescent="0.3">
      <c r="A20" s="24"/>
      <c r="B20" s="174"/>
      <c r="C20" s="149"/>
      <c r="D20" s="178">
        <v>0</v>
      </c>
      <c r="F20" s="150" t="s">
        <v>29</v>
      </c>
      <c r="G20" s="144"/>
      <c r="I20" s="50"/>
      <c r="J20" s="50"/>
    </row>
    <row r="21" spans="1:10" ht="19.5" thickBot="1" x14ac:dyDescent="0.35">
      <c r="A21" s="24"/>
      <c r="B21" s="175"/>
      <c r="C21" s="176"/>
      <c r="D21" s="178">
        <v>0</v>
      </c>
      <c r="F21" s="150" t="s">
        <v>8</v>
      </c>
      <c r="G21" s="144"/>
      <c r="I21" s="50"/>
      <c r="J21" s="50"/>
    </row>
    <row r="22" spans="1:10" ht="19.5" thickBot="1" x14ac:dyDescent="0.35">
      <c r="A22" s="24"/>
      <c r="B22" s="177"/>
      <c r="C22" s="88" t="s">
        <v>33</v>
      </c>
      <c r="D22" s="89">
        <f>SUM(D11:D21)</f>
        <v>0</v>
      </c>
      <c r="F22" s="151" t="s">
        <v>9</v>
      </c>
      <c r="G22" s="147"/>
      <c r="I22" s="50"/>
      <c r="J22" s="50"/>
    </row>
    <row r="23" spans="1:10" ht="19.5" thickTop="1" x14ac:dyDescent="0.3">
      <c r="A23" s="24"/>
      <c r="B23" s="55"/>
      <c r="C23" s="56"/>
      <c r="D23" s="58"/>
      <c r="F23" s="152" t="s">
        <v>30</v>
      </c>
      <c r="G23" s="141"/>
      <c r="I23" s="50"/>
      <c r="J23" s="50"/>
    </row>
    <row r="24" spans="1:10" x14ac:dyDescent="0.3">
      <c r="A24" s="24"/>
      <c r="B24" s="55"/>
      <c r="C24" s="56"/>
      <c r="D24" s="58"/>
      <c r="F24" s="150" t="s">
        <v>31</v>
      </c>
      <c r="G24" s="144"/>
      <c r="I24" s="50"/>
      <c r="J24" s="50"/>
    </row>
    <row r="25" spans="1:10" ht="19.5" thickBot="1" x14ac:dyDescent="0.35">
      <c r="A25" s="24"/>
      <c r="B25" s="55"/>
      <c r="C25" s="56"/>
      <c r="D25" s="58"/>
      <c r="F25" s="151" t="s">
        <v>32</v>
      </c>
      <c r="G25" s="147">
        <v>1</v>
      </c>
      <c r="I25" s="50"/>
      <c r="J25" s="50"/>
    </row>
    <row r="26" spans="1:10" ht="19.5" thickTop="1" x14ac:dyDescent="0.3">
      <c r="A26" s="24"/>
      <c r="B26" s="50"/>
      <c r="C26" s="52"/>
      <c r="D26" s="53"/>
      <c r="F26" s="152" t="s">
        <v>23</v>
      </c>
      <c r="G26" s="141"/>
      <c r="I26" s="50"/>
      <c r="J26" s="50"/>
    </row>
    <row r="27" spans="1:10" x14ac:dyDescent="0.3">
      <c r="A27" s="24"/>
      <c r="B27" s="50"/>
      <c r="C27" s="52"/>
      <c r="D27" s="53"/>
      <c r="F27" s="150" t="s">
        <v>26</v>
      </c>
      <c r="G27" s="144">
        <v>1</v>
      </c>
      <c r="I27" s="50"/>
      <c r="J27" s="50"/>
    </row>
    <row r="28" spans="1:10" x14ac:dyDescent="0.3">
      <c r="A28" s="24"/>
      <c r="B28" s="50"/>
      <c r="C28" s="52"/>
      <c r="D28" s="53"/>
      <c r="F28" s="150" t="s">
        <v>27</v>
      </c>
      <c r="G28" s="144"/>
      <c r="I28" s="50"/>
      <c r="J28" s="50"/>
    </row>
    <row r="29" spans="1:10" ht="19.5" thickBot="1" x14ac:dyDescent="0.35">
      <c r="A29" s="24"/>
      <c r="B29" s="50"/>
      <c r="C29" s="52"/>
      <c r="D29" s="53"/>
      <c r="F29" s="151" t="s">
        <v>24</v>
      </c>
      <c r="G29" s="147"/>
      <c r="I29" s="50"/>
      <c r="J29" s="50"/>
    </row>
    <row r="30" spans="1:10" ht="19.5" thickTop="1" x14ac:dyDescent="0.3">
      <c r="A30" s="24"/>
      <c r="B30" s="50"/>
      <c r="C30" s="52"/>
      <c r="D30" s="53"/>
      <c r="F30" s="48" t="s">
        <v>10</v>
      </c>
      <c r="G30" s="47">
        <v>1</v>
      </c>
      <c r="I30" s="50"/>
      <c r="J30" s="50"/>
    </row>
    <row r="31" spans="1:10" ht="19.5" thickBot="1" x14ac:dyDescent="0.35">
      <c r="A31" s="24"/>
      <c r="B31" s="50"/>
      <c r="C31" s="52"/>
      <c r="D31" s="53"/>
      <c r="F31" s="48" t="s">
        <v>19</v>
      </c>
      <c r="G31" s="47"/>
      <c r="I31" s="50"/>
      <c r="J31" s="50"/>
    </row>
    <row r="32" spans="1:10" ht="19.5" thickTop="1" x14ac:dyDescent="0.3">
      <c r="A32" s="24"/>
      <c r="B32" s="50"/>
      <c r="C32" s="52"/>
      <c r="D32" s="53"/>
      <c r="F32" s="46" t="s">
        <v>20</v>
      </c>
      <c r="G32" s="61">
        <v>1</v>
      </c>
      <c r="I32" s="50"/>
      <c r="J32" s="50"/>
    </row>
    <row r="33" spans="1:10" x14ac:dyDescent="0.3">
      <c r="A33" s="24"/>
      <c r="B33" s="50"/>
      <c r="C33" s="52"/>
      <c r="D33" s="53"/>
      <c r="F33" s="48" t="s">
        <v>155</v>
      </c>
      <c r="G33" s="47"/>
      <c r="I33" s="50"/>
      <c r="J33" s="50"/>
    </row>
    <row r="34" spans="1:10" ht="19.5" thickBot="1" x14ac:dyDescent="0.35">
      <c r="A34" s="24"/>
      <c r="B34" s="50"/>
      <c r="C34" s="52"/>
      <c r="D34" s="53"/>
      <c r="F34" s="49" t="s">
        <v>21</v>
      </c>
      <c r="G34" s="62"/>
      <c r="I34" s="50"/>
      <c r="J34" s="50"/>
    </row>
    <row r="35" spans="1:10" ht="19.5" thickTop="1" x14ac:dyDescent="0.3">
      <c r="A35" s="24"/>
      <c r="B35" s="50"/>
      <c r="C35" s="52"/>
      <c r="D35" s="53"/>
      <c r="F35" s="46" t="s">
        <v>13</v>
      </c>
      <c r="G35" s="61"/>
      <c r="I35" s="50"/>
      <c r="J35" s="50"/>
    </row>
    <row r="36" spans="1:10" ht="19.5" thickBot="1" x14ac:dyDescent="0.35">
      <c r="A36" s="24"/>
      <c r="B36" s="50"/>
      <c r="C36" s="52"/>
      <c r="D36" s="53"/>
      <c r="F36" s="49" t="s">
        <v>12</v>
      </c>
      <c r="G36" s="62">
        <v>1</v>
      </c>
      <c r="I36" s="50"/>
      <c r="J36" s="50"/>
    </row>
    <row r="37" spans="1:10" ht="19.5" thickTop="1" x14ac:dyDescent="0.3">
      <c r="A37" s="24"/>
      <c r="B37" s="50"/>
      <c r="C37" s="52"/>
      <c r="D37" s="53"/>
      <c r="F37" s="46" t="s">
        <v>157</v>
      </c>
      <c r="G37" s="61">
        <v>1</v>
      </c>
      <c r="I37" s="50"/>
      <c r="J37" s="50"/>
    </row>
    <row r="38" spans="1:10" x14ac:dyDescent="0.3">
      <c r="A38" s="24"/>
      <c r="B38" s="50"/>
      <c r="C38" s="52"/>
      <c r="D38" s="53"/>
      <c r="F38" s="48" t="s">
        <v>11</v>
      </c>
      <c r="G38" s="47"/>
      <c r="I38" s="50"/>
      <c r="J38" s="50"/>
    </row>
    <row r="39" spans="1:10" ht="19.5" thickBot="1" x14ac:dyDescent="0.35">
      <c r="A39" s="24"/>
      <c r="B39" s="50"/>
      <c r="C39" s="52"/>
      <c r="D39" s="53"/>
      <c r="F39" s="49" t="s">
        <v>25</v>
      </c>
      <c r="G39" s="62"/>
      <c r="I39" s="50"/>
      <c r="J39" s="50"/>
    </row>
    <row r="40" spans="1:10" ht="19.5" thickTop="1" x14ac:dyDescent="0.3">
      <c r="A40" s="24"/>
      <c r="B40" s="50"/>
      <c r="C40" s="52"/>
      <c r="D40" s="53"/>
      <c r="F40" s="48" t="s">
        <v>14</v>
      </c>
      <c r="G40" s="47">
        <v>1</v>
      </c>
      <c r="I40" s="50"/>
      <c r="J40" s="50"/>
    </row>
    <row r="41" spans="1:10" x14ac:dyDescent="0.3">
      <c r="A41" s="24"/>
      <c r="B41" s="50"/>
      <c r="C41" s="52"/>
      <c r="D41" s="53"/>
      <c r="F41" s="48" t="s">
        <v>15</v>
      </c>
      <c r="G41" s="47"/>
      <c r="I41" s="50"/>
      <c r="J41" s="50"/>
    </row>
    <row r="42" spans="1:10" ht="19.5" thickBot="1" x14ac:dyDescent="0.35">
      <c r="A42" s="24"/>
      <c r="B42" s="50"/>
      <c r="C42" s="52"/>
      <c r="D42" s="53"/>
      <c r="F42" s="49" t="s">
        <v>16</v>
      </c>
      <c r="G42" s="62"/>
      <c r="I42" s="50"/>
      <c r="J42" s="50"/>
    </row>
    <row r="43" spans="1:10" s="50" customFormat="1" ht="19.5" thickTop="1" x14ac:dyDescent="0.3">
      <c r="A43" s="51"/>
      <c r="C43" s="52"/>
      <c r="D43" s="53"/>
    </row>
    <row r="44" spans="1:10" s="50" customFormat="1" x14ac:dyDescent="0.3">
      <c r="A44" s="51"/>
      <c r="C44" s="52"/>
      <c r="D44" s="53"/>
    </row>
    <row r="45" spans="1:10" s="50" customFormat="1" x14ac:dyDescent="0.3">
      <c r="A45" s="51"/>
      <c r="C45" s="52"/>
      <c r="D45" s="53"/>
    </row>
    <row r="46" spans="1:10" s="50" customFormat="1" x14ac:dyDescent="0.3">
      <c r="A46" s="51"/>
      <c r="C46" s="52"/>
      <c r="D46" s="53"/>
      <c r="G46" s="52"/>
    </row>
    <row r="47" spans="1:10" s="50" customFormat="1" x14ac:dyDescent="0.3">
      <c r="A47" s="51"/>
      <c r="C47" s="52"/>
      <c r="D47" s="53"/>
      <c r="G47" s="52"/>
    </row>
    <row r="48" spans="1:10" s="50" customFormat="1" x14ac:dyDescent="0.3">
      <c r="A48" s="51"/>
      <c r="C48" s="52"/>
      <c r="D48" s="53"/>
      <c r="G48" s="52"/>
    </row>
    <row r="49" spans="1:7" s="50" customFormat="1" x14ac:dyDescent="0.3">
      <c r="A49" s="51"/>
      <c r="C49" s="52"/>
      <c r="D49" s="53"/>
      <c r="G49" s="52"/>
    </row>
    <row r="50" spans="1:7" s="50" customFormat="1" x14ac:dyDescent="0.3">
      <c r="A50" s="51"/>
      <c r="C50" s="52"/>
      <c r="D50" s="53"/>
      <c r="G50" s="52"/>
    </row>
    <row r="51" spans="1:7" s="50" customFormat="1" x14ac:dyDescent="0.3">
      <c r="A51" s="51"/>
      <c r="C51" s="52"/>
      <c r="D51" s="53"/>
      <c r="G51" s="52"/>
    </row>
    <row r="52" spans="1:7" s="50" customFormat="1" x14ac:dyDescent="0.3">
      <c r="A52" s="51"/>
      <c r="C52" s="52"/>
      <c r="D52" s="53"/>
      <c r="G52" s="52"/>
    </row>
    <row r="53" spans="1:7" s="50" customFormat="1" x14ac:dyDescent="0.3">
      <c r="A53" s="51"/>
      <c r="C53" s="52"/>
      <c r="D53" s="53"/>
      <c r="G53" s="52"/>
    </row>
    <row r="54" spans="1:7" s="50" customFormat="1" x14ac:dyDescent="0.3">
      <c r="A54" s="51"/>
      <c r="C54" s="52"/>
      <c r="D54" s="53"/>
      <c r="G54" s="52"/>
    </row>
    <row r="55" spans="1:7" s="50" customFormat="1" x14ac:dyDescent="0.3">
      <c r="A55" s="51"/>
      <c r="C55" s="52"/>
      <c r="D55" s="53"/>
      <c r="G55" s="52"/>
    </row>
    <row r="56" spans="1:7" s="50" customFormat="1" x14ac:dyDescent="0.3">
      <c r="A56" s="51"/>
      <c r="C56" s="52"/>
      <c r="D56" s="53"/>
      <c r="G56" s="52"/>
    </row>
    <row r="57" spans="1:7" s="50" customFormat="1" x14ac:dyDescent="0.3">
      <c r="A57" s="51"/>
      <c r="C57" s="52"/>
      <c r="D57" s="53"/>
      <c r="G57" s="52"/>
    </row>
    <row r="58" spans="1:7" s="50" customFormat="1" x14ac:dyDescent="0.3">
      <c r="A58" s="51"/>
      <c r="C58" s="52"/>
      <c r="D58" s="53"/>
      <c r="G58" s="52"/>
    </row>
    <row r="59" spans="1:7" s="50" customFormat="1" x14ac:dyDescent="0.3">
      <c r="A59" s="51"/>
      <c r="C59" s="52"/>
      <c r="D59" s="53"/>
      <c r="G59" s="52"/>
    </row>
    <row r="60" spans="1:7" s="50" customFormat="1" x14ac:dyDescent="0.3">
      <c r="A60" s="51"/>
      <c r="C60" s="52"/>
      <c r="D60" s="53"/>
      <c r="G60" s="52"/>
    </row>
    <row r="61" spans="1:7" s="50" customFormat="1" x14ac:dyDescent="0.3">
      <c r="A61" s="51"/>
      <c r="C61" s="52"/>
      <c r="D61" s="53"/>
      <c r="G61" s="52"/>
    </row>
    <row r="62" spans="1:7" s="50" customFormat="1" x14ac:dyDescent="0.3">
      <c r="A62" s="51"/>
      <c r="C62" s="52"/>
      <c r="D62" s="53"/>
      <c r="G62" s="52"/>
    </row>
    <row r="63" spans="1:7" s="50" customFormat="1" x14ac:dyDescent="0.3">
      <c r="A63" s="51"/>
      <c r="C63" s="52"/>
      <c r="D63" s="53"/>
      <c r="G63" s="52"/>
    </row>
    <row r="64" spans="1:7" s="50" customFormat="1" x14ac:dyDescent="0.3">
      <c r="A64" s="51"/>
      <c r="C64" s="52"/>
      <c r="D64" s="53"/>
      <c r="G64" s="52"/>
    </row>
    <row r="65" spans="1:7" s="50" customFormat="1" x14ac:dyDescent="0.3">
      <c r="A65" s="51"/>
      <c r="C65" s="52"/>
      <c r="D65" s="53"/>
      <c r="G65" s="52"/>
    </row>
    <row r="66" spans="1:7" s="50" customFormat="1" x14ac:dyDescent="0.3">
      <c r="A66" s="51"/>
      <c r="C66" s="52"/>
      <c r="D66" s="53"/>
      <c r="G66" s="52"/>
    </row>
    <row r="67" spans="1:7" s="50" customFormat="1" x14ac:dyDescent="0.3">
      <c r="A67" s="51"/>
      <c r="C67" s="52"/>
      <c r="D67" s="53"/>
      <c r="G67" s="52"/>
    </row>
    <row r="68" spans="1:7" s="50" customFormat="1" x14ac:dyDescent="0.3">
      <c r="A68" s="51"/>
      <c r="C68" s="52"/>
      <c r="D68" s="53"/>
      <c r="G68" s="52"/>
    </row>
    <row r="69" spans="1:7" s="50" customFormat="1" x14ac:dyDescent="0.3">
      <c r="A69" s="51"/>
      <c r="C69" s="52"/>
      <c r="D69" s="53"/>
      <c r="G69" s="52"/>
    </row>
    <row r="70" spans="1:7" s="50" customFormat="1" x14ac:dyDescent="0.3">
      <c r="A70" s="51"/>
      <c r="C70" s="52"/>
      <c r="D70" s="53"/>
      <c r="G70" s="52"/>
    </row>
    <row r="71" spans="1:7" s="50" customFormat="1" x14ac:dyDescent="0.3">
      <c r="A71" s="51"/>
      <c r="C71" s="52"/>
      <c r="D71" s="53"/>
      <c r="G71" s="52"/>
    </row>
    <row r="72" spans="1:7" s="50" customFormat="1" x14ac:dyDescent="0.3">
      <c r="A72" s="51"/>
      <c r="C72" s="52"/>
      <c r="D72" s="53"/>
      <c r="G72" s="52"/>
    </row>
    <row r="73" spans="1:7" s="50" customFormat="1" x14ac:dyDescent="0.3">
      <c r="A73" s="51"/>
      <c r="C73" s="52"/>
      <c r="D73" s="53"/>
      <c r="G73" s="52"/>
    </row>
    <row r="74" spans="1:7" s="50" customFormat="1" x14ac:dyDescent="0.3">
      <c r="A74" s="51"/>
      <c r="C74" s="52"/>
      <c r="D74" s="53"/>
      <c r="G74" s="52"/>
    </row>
    <row r="75" spans="1:7" s="50" customFormat="1" x14ac:dyDescent="0.3">
      <c r="A75" s="51"/>
      <c r="C75" s="52"/>
      <c r="D75" s="53"/>
      <c r="G75" s="52"/>
    </row>
    <row r="76" spans="1:7" s="50" customFormat="1" x14ac:dyDescent="0.3">
      <c r="A76" s="51"/>
      <c r="C76" s="52"/>
      <c r="D76" s="53"/>
      <c r="G76" s="52"/>
    </row>
    <row r="77" spans="1:7" s="50" customFormat="1" x14ac:dyDescent="0.3">
      <c r="A77" s="51"/>
      <c r="C77" s="52"/>
      <c r="D77" s="53"/>
      <c r="G77" s="52"/>
    </row>
    <row r="78" spans="1:7" s="50" customFormat="1" x14ac:dyDescent="0.3">
      <c r="A78" s="51"/>
      <c r="C78" s="52"/>
      <c r="D78" s="53"/>
      <c r="G78" s="52"/>
    </row>
    <row r="79" spans="1:7" s="50" customFormat="1" x14ac:dyDescent="0.3">
      <c r="A79" s="51"/>
      <c r="C79" s="52"/>
      <c r="D79" s="53"/>
      <c r="G79" s="52"/>
    </row>
    <row r="80" spans="1:7" s="50" customFormat="1" x14ac:dyDescent="0.3">
      <c r="A80" s="51"/>
      <c r="C80" s="52"/>
      <c r="D80" s="53"/>
      <c r="G80" s="52"/>
    </row>
    <row r="81" spans="1:7" s="50" customFormat="1" x14ac:dyDescent="0.3">
      <c r="A81" s="51"/>
      <c r="C81" s="52"/>
      <c r="D81" s="53"/>
      <c r="G81" s="52"/>
    </row>
    <row r="82" spans="1:7" s="50" customFormat="1" x14ac:dyDescent="0.3">
      <c r="A82" s="51"/>
      <c r="C82" s="52"/>
      <c r="D82" s="53"/>
      <c r="G82" s="52"/>
    </row>
    <row r="83" spans="1:7" s="50" customFormat="1" x14ac:dyDescent="0.3">
      <c r="A83" s="51"/>
      <c r="C83" s="52"/>
      <c r="D83" s="53"/>
      <c r="G83" s="52"/>
    </row>
    <row r="84" spans="1:7" s="50" customFormat="1" x14ac:dyDescent="0.3">
      <c r="A84" s="51"/>
      <c r="C84" s="52"/>
      <c r="D84" s="53"/>
      <c r="G84" s="52"/>
    </row>
    <row r="85" spans="1:7" s="50" customFormat="1" x14ac:dyDescent="0.3">
      <c r="A85" s="51"/>
      <c r="C85" s="52"/>
      <c r="D85" s="53"/>
      <c r="G85" s="52"/>
    </row>
    <row r="86" spans="1:7" s="50" customFormat="1" x14ac:dyDescent="0.3">
      <c r="A86" s="51"/>
      <c r="C86" s="52"/>
      <c r="D86" s="53"/>
      <c r="G86" s="52"/>
    </row>
    <row r="87" spans="1:7" s="50" customFormat="1" x14ac:dyDescent="0.3">
      <c r="A87" s="51"/>
      <c r="C87" s="52"/>
      <c r="D87" s="53"/>
      <c r="G87" s="52"/>
    </row>
    <row r="88" spans="1:7" s="50" customFormat="1" x14ac:dyDescent="0.3">
      <c r="A88" s="51"/>
      <c r="C88" s="52"/>
      <c r="D88" s="53"/>
      <c r="G88" s="52"/>
    </row>
    <row r="89" spans="1:7" s="50" customFormat="1" x14ac:dyDescent="0.3">
      <c r="A89" s="51"/>
      <c r="C89" s="52"/>
      <c r="D89" s="53"/>
      <c r="G89" s="52"/>
    </row>
    <row r="90" spans="1:7" s="50" customFormat="1" x14ac:dyDescent="0.3">
      <c r="A90" s="51"/>
      <c r="C90" s="52"/>
      <c r="D90" s="53"/>
      <c r="G90" s="52"/>
    </row>
    <row r="91" spans="1:7" s="50" customFormat="1" x14ac:dyDescent="0.3">
      <c r="A91" s="51"/>
      <c r="C91" s="52"/>
      <c r="D91" s="53"/>
      <c r="G91" s="52"/>
    </row>
    <row r="92" spans="1:7" s="50" customFormat="1" x14ac:dyDescent="0.3">
      <c r="A92" s="51"/>
      <c r="C92" s="52"/>
      <c r="D92" s="53"/>
      <c r="G92" s="52"/>
    </row>
    <row r="93" spans="1:7" s="50" customFormat="1" x14ac:dyDescent="0.3">
      <c r="A93" s="51"/>
      <c r="C93" s="52"/>
      <c r="D93" s="53"/>
      <c r="G93" s="52"/>
    </row>
    <row r="94" spans="1:7" s="50" customFormat="1" x14ac:dyDescent="0.3">
      <c r="A94" s="51"/>
      <c r="C94" s="52"/>
      <c r="D94" s="53"/>
      <c r="G94" s="52"/>
    </row>
    <row r="95" spans="1:7" s="50" customFormat="1" x14ac:dyDescent="0.3">
      <c r="A95" s="51"/>
      <c r="C95" s="52"/>
      <c r="D95" s="53"/>
      <c r="G95" s="52"/>
    </row>
    <row r="96" spans="1:7" s="50" customFormat="1" x14ac:dyDescent="0.3">
      <c r="A96" s="51"/>
      <c r="C96" s="52"/>
      <c r="D96" s="53"/>
      <c r="G96" s="52"/>
    </row>
    <row r="97" spans="1:7" s="50" customFormat="1" x14ac:dyDescent="0.3">
      <c r="A97" s="51"/>
      <c r="C97" s="52"/>
      <c r="D97" s="53"/>
      <c r="G97" s="52"/>
    </row>
    <row r="98" spans="1:7" s="50" customFormat="1" x14ac:dyDescent="0.3">
      <c r="A98" s="51"/>
      <c r="C98" s="52"/>
      <c r="D98" s="53"/>
      <c r="G98" s="52"/>
    </row>
    <row r="99" spans="1:7" s="50" customFormat="1" x14ac:dyDescent="0.3">
      <c r="A99" s="51"/>
      <c r="C99" s="52"/>
      <c r="D99" s="53"/>
      <c r="G99" s="52"/>
    </row>
    <row r="100" spans="1:7" s="50" customFormat="1" x14ac:dyDescent="0.3">
      <c r="A100" s="51"/>
      <c r="C100" s="52"/>
      <c r="D100" s="53"/>
      <c r="G100" s="52"/>
    </row>
    <row r="101" spans="1:7" s="50" customFormat="1" x14ac:dyDescent="0.3">
      <c r="A101" s="51"/>
      <c r="C101" s="52"/>
      <c r="D101" s="53"/>
      <c r="G101" s="52"/>
    </row>
    <row r="102" spans="1:7" s="50" customFormat="1" x14ac:dyDescent="0.3">
      <c r="A102" s="51"/>
      <c r="C102" s="52"/>
      <c r="D102" s="53"/>
      <c r="G102" s="52"/>
    </row>
    <row r="103" spans="1:7" s="50" customFormat="1" x14ac:dyDescent="0.3">
      <c r="A103" s="51"/>
      <c r="C103" s="52"/>
      <c r="D103" s="53"/>
      <c r="G103" s="52"/>
    </row>
    <row r="104" spans="1:7" s="50" customFormat="1" x14ac:dyDescent="0.3">
      <c r="A104" s="51"/>
      <c r="C104" s="52"/>
      <c r="D104" s="53"/>
      <c r="G104" s="52"/>
    </row>
    <row r="105" spans="1:7" s="50" customFormat="1" x14ac:dyDescent="0.3">
      <c r="A105" s="51"/>
      <c r="C105" s="52"/>
      <c r="D105" s="53"/>
      <c r="G105" s="52"/>
    </row>
    <row r="106" spans="1:7" s="50" customFormat="1" x14ac:dyDescent="0.3">
      <c r="A106" s="51"/>
      <c r="C106" s="52"/>
      <c r="D106" s="53"/>
      <c r="G106" s="52"/>
    </row>
    <row r="107" spans="1:7" s="50" customFormat="1" x14ac:dyDescent="0.3">
      <c r="A107" s="51"/>
      <c r="C107" s="52"/>
      <c r="D107" s="53"/>
      <c r="G107" s="52"/>
    </row>
    <row r="108" spans="1:7" s="50" customFormat="1" x14ac:dyDescent="0.3">
      <c r="A108" s="51"/>
      <c r="C108" s="52"/>
      <c r="D108" s="53"/>
      <c r="G108" s="52"/>
    </row>
    <row r="109" spans="1:7" s="50" customFormat="1" x14ac:dyDescent="0.3">
      <c r="A109" s="51"/>
      <c r="C109" s="52"/>
      <c r="D109" s="53"/>
      <c r="G109" s="52"/>
    </row>
    <row r="110" spans="1:7" s="50" customFormat="1" x14ac:dyDescent="0.3">
      <c r="A110" s="51"/>
      <c r="C110" s="52"/>
      <c r="D110" s="53"/>
      <c r="G110" s="52"/>
    </row>
    <row r="111" spans="1:7" s="50" customFormat="1" x14ac:dyDescent="0.3">
      <c r="A111" s="51"/>
      <c r="C111" s="52"/>
      <c r="D111" s="53"/>
      <c r="G111" s="52"/>
    </row>
    <row r="112" spans="1:7" s="50" customFormat="1" x14ac:dyDescent="0.3">
      <c r="A112" s="51"/>
      <c r="C112" s="52"/>
      <c r="D112" s="53"/>
      <c r="G112" s="52"/>
    </row>
    <row r="113" spans="1:7" s="50" customFormat="1" x14ac:dyDescent="0.3">
      <c r="A113" s="51"/>
      <c r="C113" s="52"/>
      <c r="D113" s="53"/>
      <c r="G113" s="52"/>
    </row>
    <row r="114" spans="1:7" s="50" customFormat="1" x14ac:dyDescent="0.3">
      <c r="A114" s="51"/>
      <c r="C114" s="52"/>
      <c r="D114" s="53"/>
      <c r="G114" s="52"/>
    </row>
    <row r="115" spans="1:7" s="50" customFormat="1" x14ac:dyDescent="0.3">
      <c r="A115" s="51"/>
      <c r="C115" s="52"/>
      <c r="D115" s="53"/>
      <c r="G115" s="52"/>
    </row>
    <row r="116" spans="1:7" s="50" customFormat="1" x14ac:dyDescent="0.3">
      <c r="A116" s="51"/>
      <c r="C116" s="52"/>
      <c r="D116" s="53"/>
      <c r="G116" s="52"/>
    </row>
    <row r="117" spans="1:7" s="50" customFormat="1" x14ac:dyDescent="0.3">
      <c r="A117" s="51"/>
      <c r="C117" s="52"/>
      <c r="D117" s="53"/>
      <c r="G117" s="52"/>
    </row>
    <row r="118" spans="1:7" s="50" customFormat="1" x14ac:dyDescent="0.3">
      <c r="A118" s="51"/>
      <c r="C118" s="52"/>
      <c r="D118" s="53"/>
      <c r="G118" s="52"/>
    </row>
    <row r="119" spans="1:7" s="50" customFormat="1" x14ac:dyDescent="0.3">
      <c r="A119" s="51"/>
      <c r="C119" s="52"/>
      <c r="D119" s="53"/>
      <c r="G119" s="52"/>
    </row>
    <row r="120" spans="1:7" s="50" customFormat="1" x14ac:dyDescent="0.3">
      <c r="A120" s="51"/>
      <c r="C120" s="52"/>
      <c r="D120" s="53"/>
      <c r="G120" s="52"/>
    </row>
    <row r="121" spans="1:7" s="50" customFormat="1" x14ac:dyDescent="0.3">
      <c r="A121" s="51"/>
      <c r="C121" s="52"/>
      <c r="D121" s="53"/>
      <c r="G121" s="52"/>
    </row>
    <row r="122" spans="1:7" s="50" customFormat="1" x14ac:dyDescent="0.3">
      <c r="A122" s="51"/>
      <c r="C122" s="52"/>
      <c r="D122" s="53"/>
      <c r="G122" s="52"/>
    </row>
    <row r="123" spans="1:7" s="50" customFormat="1" x14ac:dyDescent="0.3">
      <c r="A123" s="51"/>
      <c r="C123" s="52"/>
      <c r="D123" s="53"/>
      <c r="G123" s="52"/>
    </row>
    <row r="124" spans="1:7" s="50" customFormat="1" x14ac:dyDescent="0.3">
      <c r="A124" s="51"/>
      <c r="C124" s="52"/>
      <c r="D124" s="53"/>
      <c r="G124" s="52"/>
    </row>
    <row r="125" spans="1:7" s="50" customFormat="1" x14ac:dyDescent="0.3">
      <c r="A125" s="51"/>
      <c r="C125" s="52"/>
      <c r="D125" s="53"/>
      <c r="G125" s="52"/>
    </row>
    <row r="126" spans="1:7" s="50" customFormat="1" x14ac:dyDescent="0.3">
      <c r="A126" s="51"/>
      <c r="C126" s="52"/>
      <c r="D126" s="53"/>
      <c r="G126" s="52"/>
    </row>
    <row r="127" spans="1:7" s="50" customFormat="1" x14ac:dyDescent="0.3">
      <c r="A127" s="51"/>
      <c r="C127" s="52"/>
      <c r="D127" s="53"/>
      <c r="G127" s="52"/>
    </row>
    <row r="128" spans="1:7" s="50" customFormat="1" x14ac:dyDescent="0.3">
      <c r="A128" s="51"/>
      <c r="C128" s="52"/>
      <c r="D128" s="53"/>
      <c r="G128" s="52"/>
    </row>
    <row r="129" spans="1:7" s="50" customFormat="1" x14ac:dyDescent="0.3">
      <c r="A129" s="51"/>
      <c r="C129" s="52"/>
      <c r="D129" s="53"/>
      <c r="G129" s="52"/>
    </row>
    <row r="130" spans="1:7" s="50" customFormat="1" x14ac:dyDescent="0.3">
      <c r="A130" s="51"/>
      <c r="C130" s="52"/>
      <c r="D130" s="53"/>
      <c r="G130" s="52"/>
    </row>
    <row r="131" spans="1:7" s="50" customFormat="1" x14ac:dyDescent="0.3">
      <c r="A131" s="51"/>
      <c r="C131" s="52"/>
      <c r="D131" s="53"/>
      <c r="G131" s="52"/>
    </row>
    <row r="132" spans="1:7" s="50" customFormat="1" x14ac:dyDescent="0.3">
      <c r="A132" s="51"/>
      <c r="C132" s="52"/>
      <c r="D132" s="53"/>
      <c r="G132" s="52"/>
    </row>
    <row r="133" spans="1:7" s="50" customFormat="1" x14ac:dyDescent="0.3">
      <c r="A133" s="51"/>
      <c r="C133" s="52"/>
      <c r="D133" s="53"/>
      <c r="G133" s="52"/>
    </row>
    <row r="134" spans="1:7" s="50" customFormat="1" x14ac:dyDescent="0.3">
      <c r="A134" s="51"/>
      <c r="C134" s="52"/>
      <c r="D134" s="53"/>
      <c r="G134" s="52"/>
    </row>
    <row r="135" spans="1:7" s="50" customFormat="1" x14ac:dyDescent="0.3">
      <c r="A135" s="51"/>
      <c r="C135" s="52"/>
      <c r="D135" s="53"/>
      <c r="G135" s="52"/>
    </row>
    <row r="136" spans="1:7" s="50" customFormat="1" x14ac:dyDescent="0.3">
      <c r="A136" s="51"/>
      <c r="C136" s="52"/>
      <c r="D136" s="53"/>
      <c r="G136" s="52"/>
    </row>
    <row r="137" spans="1:7" s="50" customFormat="1" x14ac:dyDescent="0.3">
      <c r="A137" s="51"/>
      <c r="C137" s="52"/>
      <c r="D137" s="53"/>
      <c r="G137" s="52"/>
    </row>
    <row r="138" spans="1:7" s="50" customFormat="1" x14ac:dyDescent="0.3">
      <c r="A138" s="51"/>
      <c r="C138" s="52"/>
      <c r="D138" s="53"/>
      <c r="G138" s="52"/>
    </row>
    <row r="139" spans="1:7" s="50" customFormat="1" x14ac:dyDescent="0.3">
      <c r="A139" s="51"/>
      <c r="C139" s="52"/>
      <c r="D139" s="53"/>
      <c r="G139" s="52"/>
    </row>
    <row r="140" spans="1:7" s="50" customFormat="1" x14ac:dyDescent="0.3">
      <c r="A140" s="51"/>
      <c r="C140" s="52"/>
      <c r="D140" s="53"/>
      <c r="G140" s="52"/>
    </row>
    <row r="141" spans="1:7" s="50" customFormat="1" x14ac:dyDescent="0.3">
      <c r="A141" s="51"/>
      <c r="C141" s="52"/>
      <c r="D141" s="53"/>
      <c r="G141" s="52"/>
    </row>
    <row r="142" spans="1:7" s="50" customFormat="1" x14ac:dyDescent="0.3">
      <c r="A142" s="51"/>
      <c r="C142" s="52"/>
      <c r="D142" s="53"/>
      <c r="G142" s="52"/>
    </row>
    <row r="143" spans="1:7" s="50" customFormat="1" x14ac:dyDescent="0.3">
      <c r="A143" s="51"/>
      <c r="C143" s="52"/>
      <c r="D143" s="53"/>
      <c r="G143" s="52"/>
    </row>
    <row r="144" spans="1:7" s="50" customFormat="1" x14ac:dyDescent="0.3">
      <c r="A144" s="51"/>
      <c r="C144" s="52"/>
      <c r="D144" s="53"/>
      <c r="G144" s="52"/>
    </row>
    <row r="145" spans="1:7" s="50" customFormat="1" x14ac:dyDescent="0.3">
      <c r="A145" s="51"/>
      <c r="C145" s="52"/>
      <c r="D145" s="53"/>
      <c r="G145" s="52"/>
    </row>
    <row r="146" spans="1:7" s="50" customFormat="1" x14ac:dyDescent="0.3">
      <c r="A146" s="51"/>
      <c r="C146" s="52"/>
      <c r="D146" s="53"/>
      <c r="G146" s="52"/>
    </row>
    <row r="147" spans="1:7" s="50" customFormat="1" x14ac:dyDescent="0.3">
      <c r="A147" s="51"/>
      <c r="C147" s="52"/>
      <c r="D147" s="53"/>
      <c r="G147" s="52"/>
    </row>
    <row r="148" spans="1:7" s="50" customFormat="1" x14ac:dyDescent="0.3">
      <c r="A148" s="51"/>
      <c r="C148" s="52"/>
      <c r="D148" s="53"/>
      <c r="G148" s="52"/>
    </row>
    <row r="149" spans="1:7" s="50" customFormat="1" x14ac:dyDescent="0.3">
      <c r="A149" s="51"/>
      <c r="C149" s="52"/>
      <c r="D149" s="53"/>
      <c r="G149" s="52"/>
    </row>
    <row r="150" spans="1:7" s="50" customFormat="1" x14ac:dyDescent="0.3">
      <c r="A150" s="51"/>
      <c r="C150" s="52"/>
      <c r="D150" s="53"/>
      <c r="G150" s="52"/>
    </row>
    <row r="151" spans="1:7" s="50" customFormat="1" x14ac:dyDescent="0.3">
      <c r="A151" s="51"/>
      <c r="C151" s="52"/>
      <c r="D151" s="53"/>
      <c r="G151" s="52"/>
    </row>
    <row r="152" spans="1:7" s="50" customFormat="1" x14ac:dyDescent="0.3">
      <c r="A152" s="51"/>
      <c r="C152" s="52"/>
      <c r="D152" s="53"/>
      <c r="G152" s="52"/>
    </row>
    <row r="153" spans="1:7" s="50" customFormat="1" x14ac:dyDescent="0.3">
      <c r="A153" s="51"/>
      <c r="C153" s="52"/>
      <c r="D153" s="53"/>
      <c r="G153" s="52"/>
    </row>
    <row r="154" spans="1:7" s="50" customFormat="1" x14ac:dyDescent="0.3">
      <c r="A154" s="51"/>
      <c r="C154" s="52"/>
      <c r="D154" s="53"/>
      <c r="G154" s="52"/>
    </row>
    <row r="155" spans="1:7" s="50" customFormat="1" x14ac:dyDescent="0.3">
      <c r="A155" s="51"/>
      <c r="C155" s="52"/>
      <c r="D155" s="53"/>
      <c r="G155" s="52"/>
    </row>
    <row r="156" spans="1:7" s="50" customFormat="1" x14ac:dyDescent="0.3">
      <c r="A156" s="51"/>
      <c r="C156" s="52"/>
      <c r="D156" s="53"/>
      <c r="G156" s="52"/>
    </row>
    <row r="157" spans="1:7" s="50" customFormat="1" x14ac:dyDescent="0.3">
      <c r="A157" s="51"/>
      <c r="C157" s="52"/>
      <c r="D157" s="53"/>
      <c r="G157" s="52"/>
    </row>
    <row r="158" spans="1:7" s="50" customFormat="1" x14ac:dyDescent="0.3">
      <c r="A158" s="51"/>
      <c r="C158" s="52"/>
      <c r="D158" s="53"/>
      <c r="G158" s="52"/>
    </row>
    <row r="159" spans="1:7" s="50" customFormat="1" x14ac:dyDescent="0.3">
      <c r="A159" s="51"/>
      <c r="C159" s="52"/>
      <c r="D159" s="53"/>
      <c r="G159" s="52"/>
    </row>
    <row r="160" spans="1:7" s="50" customFormat="1" x14ac:dyDescent="0.3">
      <c r="A160" s="51"/>
      <c r="C160" s="52"/>
      <c r="D160" s="53"/>
      <c r="G160" s="52"/>
    </row>
    <row r="161" spans="1:7" s="50" customFormat="1" x14ac:dyDescent="0.3">
      <c r="A161" s="51"/>
      <c r="C161" s="52"/>
      <c r="D161" s="53"/>
      <c r="G161" s="52"/>
    </row>
    <row r="162" spans="1:7" s="50" customFormat="1" x14ac:dyDescent="0.3">
      <c r="A162" s="51"/>
      <c r="C162" s="52"/>
      <c r="D162" s="53"/>
      <c r="G162" s="52"/>
    </row>
    <row r="163" spans="1:7" s="50" customFormat="1" x14ac:dyDescent="0.3">
      <c r="A163" s="51"/>
      <c r="C163" s="52"/>
      <c r="D163" s="53"/>
      <c r="G163" s="52"/>
    </row>
    <row r="164" spans="1:7" s="50" customFormat="1" x14ac:dyDescent="0.3">
      <c r="A164" s="51"/>
      <c r="C164" s="52"/>
      <c r="D164" s="53"/>
      <c r="G164" s="52"/>
    </row>
    <row r="165" spans="1:7" s="50" customFormat="1" x14ac:dyDescent="0.3">
      <c r="A165" s="51"/>
      <c r="C165" s="52"/>
      <c r="D165" s="53"/>
      <c r="G165" s="52"/>
    </row>
    <row r="166" spans="1:7" s="50" customFormat="1" x14ac:dyDescent="0.3">
      <c r="A166" s="51"/>
      <c r="C166" s="52"/>
      <c r="D166" s="53"/>
      <c r="G166" s="52"/>
    </row>
    <row r="167" spans="1:7" s="50" customFormat="1" x14ac:dyDescent="0.3">
      <c r="A167" s="51"/>
      <c r="C167" s="52"/>
      <c r="D167" s="53"/>
      <c r="G167" s="52"/>
    </row>
    <row r="168" spans="1:7" s="50" customFormat="1" x14ac:dyDescent="0.3">
      <c r="A168" s="51"/>
      <c r="C168" s="52"/>
      <c r="D168" s="53"/>
      <c r="G168" s="52"/>
    </row>
    <row r="169" spans="1:7" s="50" customFormat="1" x14ac:dyDescent="0.3">
      <c r="A169" s="51"/>
      <c r="C169" s="52"/>
      <c r="D169" s="53"/>
      <c r="G169" s="52"/>
    </row>
    <row r="170" spans="1:7" s="50" customFormat="1" x14ac:dyDescent="0.3">
      <c r="A170" s="51"/>
      <c r="C170" s="52"/>
      <c r="D170" s="53"/>
      <c r="G170" s="52"/>
    </row>
    <row r="171" spans="1:7" s="50" customFormat="1" x14ac:dyDescent="0.3">
      <c r="A171" s="51"/>
      <c r="C171" s="52"/>
      <c r="D171" s="53"/>
      <c r="G171" s="52"/>
    </row>
    <row r="172" spans="1:7" s="50" customFormat="1" x14ac:dyDescent="0.3">
      <c r="A172" s="51"/>
      <c r="C172" s="52"/>
      <c r="D172" s="53"/>
      <c r="G172" s="52"/>
    </row>
    <row r="173" spans="1:7" s="50" customFormat="1" x14ac:dyDescent="0.3">
      <c r="A173" s="51"/>
      <c r="C173" s="52"/>
      <c r="D173" s="53"/>
      <c r="G173" s="52"/>
    </row>
    <row r="174" spans="1:7" s="50" customFormat="1" x14ac:dyDescent="0.3">
      <c r="A174" s="51"/>
      <c r="C174" s="52"/>
      <c r="D174" s="53"/>
      <c r="G174" s="52"/>
    </row>
    <row r="175" spans="1:7" s="50" customFormat="1" x14ac:dyDescent="0.3">
      <c r="A175" s="51"/>
      <c r="C175" s="52"/>
      <c r="D175" s="53"/>
      <c r="G175" s="52"/>
    </row>
    <row r="176" spans="1:7" s="50" customFormat="1" x14ac:dyDescent="0.3">
      <c r="A176" s="51"/>
      <c r="C176" s="52"/>
      <c r="D176" s="53"/>
      <c r="G176" s="52"/>
    </row>
    <row r="177" spans="1:7" s="50" customFormat="1" x14ac:dyDescent="0.3">
      <c r="A177" s="51"/>
      <c r="C177" s="52"/>
      <c r="D177" s="53"/>
      <c r="G177" s="52"/>
    </row>
    <row r="178" spans="1:7" s="50" customFormat="1" x14ac:dyDescent="0.3">
      <c r="A178" s="51"/>
      <c r="C178" s="52"/>
      <c r="D178" s="53"/>
      <c r="G178" s="52"/>
    </row>
    <row r="179" spans="1:7" s="50" customFormat="1" x14ac:dyDescent="0.3">
      <c r="A179" s="51"/>
      <c r="C179" s="52"/>
      <c r="D179" s="53"/>
      <c r="G179" s="52"/>
    </row>
    <row r="180" spans="1:7" s="50" customFormat="1" x14ac:dyDescent="0.3">
      <c r="A180" s="51"/>
      <c r="C180" s="52"/>
      <c r="D180" s="53"/>
      <c r="G180" s="52"/>
    </row>
    <row r="181" spans="1:7" s="50" customFormat="1" x14ac:dyDescent="0.3">
      <c r="A181" s="51"/>
      <c r="C181" s="52"/>
      <c r="D181" s="53"/>
      <c r="G181" s="52"/>
    </row>
    <row r="182" spans="1:7" s="50" customFormat="1" x14ac:dyDescent="0.3">
      <c r="A182" s="51"/>
      <c r="C182" s="52"/>
      <c r="D182" s="53"/>
      <c r="G182" s="52"/>
    </row>
    <row r="183" spans="1:7" s="50" customFormat="1" x14ac:dyDescent="0.3">
      <c r="A183" s="51"/>
      <c r="C183" s="52"/>
      <c r="D183" s="53"/>
      <c r="G183" s="52"/>
    </row>
    <row r="184" spans="1:7" s="50" customFormat="1" x14ac:dyDescent="0.3">
      <c r="A184" s="51"/>
      <c r="C184" s="52"/>
      <c r="D184" s="53"/>
      <c r="G184" s="52"/>
    </row>
    <row r="185" spans="1:7" s="50" customFormat="1" x14ac:dyDescent="0.3">
      <c r="A185" s="51"/>
      <c r="C185" s="52"/>
      <c r="D185" s="53"/>
      <c r="G185" s="52"/>
    </row>
    <row r="186" spans="1:7" s="50" customFormat="1" x14ac:dyDescent="0.3">
      <c r="A186" s="51"/>
      <c r="C186" s="52"/>
      <c r="D186" s="53"/>
      <c r="G186" s="52"/>
    </row>
    <row r="187" spans="1:7" s="50" customFormat="1" x14ac:dyDescent="0.3">
      <c r="A187" s="51"/>
      <c r="C187" s="52"/>
      <c r="D187" s="53"/>
      <c r="G187" s="52"/>
    </row>
    <row r="188" spans="1:7" s="50" customFormat="1" x14ac:dyDescent="0.3">
      <c r="A188" s="51"/>
      <c r="C188" s="52"/>
      <c r="D188" s="53"/>
      <c r="G188" s="52"/>
    </row>
    <row r="189" spans="1:7" s="50" customFormat="1" x14ac:dyDescent="0.3">
      <c r="A189" s="51"/>
      <c r="C189" s="52"/>
      <c r="D189" s="53"/>
      <c r="G189" s="52"/>
    </row>
    <row r="190" spans="1:7" s="50" customFormat="1" x14ac:dyDescent="0.3">
      <c r="A190" s="51"/>
      <c r="C190" s="52"/>
      <c r="D190" s="53"/>
      <c r="G190" s="52"/>
    </row>
    <row r="191" spans="1:7" s="50" customFormat="1" x14ac:dyDescent="0.3">
      <c r="A191" s="51"/>
      <c r="C191" s="52"/>
      <c r="D191" s="53"/>
      <c r="G191" s="52"/>
    </row>
    <row r="192" spans="1:7" s="50" customFormat="1" x14ac:dyDescent="0.3">
      <c r="A192" s="51"/>
      <c r="C192" s="52"/>
      <c r="D192" s="53"/>
      <c r="G192" s="52"/>
    </row>
    <row r="193" spans="1:7" s="50" customFormat="1" x14ac:dyDescent="0.3">
      <c r="A193" s="51"/>
      <c r="C193" s="52"/>
      <c r="D193" s="53"/>
      <c r="G193" s="52"/>
    </row>
    <row r="194" spans="1:7" s="50" customFormat="1" x14ac:dyDescent="0.3">
      <c r="A194" s="51"/>
      <c r="C194" s="52"/>
      <c r="D194" s="53"/>
      <c r="G194" s="52"/>
    </row>
    <row r="195" spans="1:7" s="50" customFormat="1" x14ac:dyDescent="0.3">
      <c r="A195" s="51"/>
      <c r="C195" s="52"/>
      <c r="D195" s="53"/>
      <c r="G195" s="52"/>
    </row>
    <row r="196" spans="1:7" s="50" customFormat="1" x14ac:dyDescent="0.3">
      <c r="A196" s="51"/>
      <c r="C196" s="52"/>
      <c r="D196" s="53"/>
      <c r="G196" s="52"/>
    </row>
    <row r="197" spans="1:7" s="50" customFormat="1" x14ac:dyDescent="0.3">
      <c r="A197" s="51"/>
      <c r="C197" s="52"/>
      <c r="D197" s="53"/>
      <c r="G197" s="52"/>
    </row>
    <row r="198" spans="1:7" s="50" customFormat="1" x14ac:dyDescent="0.3">
      <c r="A198" s="51"/>
      <c r="C198" s="52"/>
      <c r="D198" s="53"/>
      <c r="G198" s="52"/>
    </row>
    <row r="199" spans="1:7" s="50" customFormat="1" x14ac:dyDescent="0.3">
      <c r="A199" s="51"/>
      <c r="C199" s="52"/>
      <c r="D199" s="53"/>
      <c r="G199" s="52"/>
    </row>
    <row r="200" spans="1:7" s="50" customFormat="1" x14ac:dyDescent="0.3">
      <c r="A200" s="51"/>
      <c r="C200" s="52"/>
      <c r="D200" s="53"/>
      <c r="G200" s="52"/>
    </row>
    <row r="201" spans="1:7" s="50" customFormat="1" x14ac:dyDescent="0.3">
      <c r="A201" s="51"/>
      <c r="C201" s="52"/>
      <c r="D201" s="53"/>
      <c r="G201" s="52"/>
    </row>
    <row r="202" spans="1:7" s="50" customFormat="1" x14ac:dyDescent="0.3">
      <c r="A202" s="51"/>
      <c r="C202" s="52"/>
      <c r="D202" s="53"/>
      <c r="G202" s="52"/>
    </row>
    <row r="203" spans="1:7" s="50" customFormat="1" x14ac:dyDescent="0.3">
      <c r="A203" s="51"/>
      <c r="C203" s="52"/>
      <c r="D203" s="53"/>
      <c r="G203" s="52"/>
    </row>
    <row r="204" spans="1:7" s="50" customFormat="1" x14ac:dyDescent="0.3">
      <c r="A204" s="51"/>
      <c r="C204" s="52"/>
      <c r="D204" s="53"/>
      <c r="G204" s="52"/>
    </row>
    <row r="205" spans="1:7" s="50" customFormat="1" x14ac:dyDescent="0.3">
      <c r="A205" s="51"/>
      <c r="C205" s="52"/>
      <c r="D205" s="53"/>
      <c r="G205" s="52"/>
    </row>
    <row r="206" spans="1:7" s="50" customFormat="1" x14ac:dyDescent="0.3">
      <c r="A206" s="51"/>
      <c r="C206" s="52"/>
      <c r="D206" s="53"/>
      <c r="G206" s="52"/>
    </row>
    <row r="207" spans="1:7" s="50" customFormat="1" x14ac:dyDescent="0.3">
      <c r="A207" s="51"/>
      <c r="C207" s="52"/>
      <c r="D207" s="53"/>
      <c r="G207" s="52"/>
    </row>
    <row r="208" spans="1:7" s="50" customFormat="1" x14ac:dyDescent="0.3">
      <c r="A208" s="51"/>
      <c r="C208" s="52"/>
      <c r="D208" s="53"/>
      <c r="G208" s="52"/>
    </row>
    <row r="209" spans="1:7" s="50" customFormat="1" x14ac:dyDescent="0.3">
      <c r="A209" s="51"/>
      <c r="C209" s="52"/>
      <c r="D209" s="53"/>
      <c r="G209" s="52"/>
    </row>
    <row r="210" spans="1:7" s="50" customFormat="1" x14ac:dyDescent="0.3">
      <c r="A210" s="51"/>
      <c r="C210" s="52"/>
      <c r="D210" s="53"/>
      <c r="G210" s="52"/>
    </row>
    <row r="211" spans="1:7" s="50" customFormat="1" x14ac:dyDescent="0.3">
      <c r="A211" s="51"/>
      <c r="C211" s="52"/>
      <c r="D211" s="53"/>
      <c r="G211" s="52"/>
    </row>
    <row r="212" spans="1:7" s="50" customFormat="1" x14ac:dyDescent="0.3">
      <c r="A212" s="51"/>
      <c r="C212" s="52"/>
      <c r="D212" s="53"/>
      <c r="G212" s="52"/>
    </row>
    <row r="213" spans="1:7" s="50" customFormat="1" x14ac:dyDescent="0.3">
      <c r="A213" s="51"/>
      <c r="C213" s="52"/>
      <c r="D213" s="53"/>
      <c r="G213" s="52"/>
    </row>
    <row r="214" spans="1:7" s="50" customFormat="1" x14ac:dyDescent="0.3">
      <c r="A214" s="51"/>
      <c r="C214" s="52"/>
      <c r="D214" s="53"/>
      <c r="G214" s="52"/>
    </row>
    <row r="215" spans="1:7" s="50" customFormat="1" x14ac:dyDescent="0.3">
      <c r="A215" s="51"/>
      <c r="C215" s="52"/>
      <c r="D215" s="53"/>
      <c r="G215" s="52"/>
    </row>
    <row r="216" spans="1:7" s="50" customFormat="1" x14ac:dyDescent="0.3">
      <c r="A216" s="51"/>
      <c r="C216" s="52"/>
      <c r="D216" s="53"/>
      <c r="G216" s="52"/>
    </row>
    <row r="217" spans="1:7" s="50" customFormat="1" x14ac:dyDescent="0.3">
      <c r="A217" s="51"/>
      <c r="C217" s="52"/>
      <c r="D217" s="53"/>
      <c r="G217" s="52"/>
    </row>
    <row r="218" spans="1:7" s="50" customFormat="1" x14ac:dyDescent="0.3">
      <c r="A218" s="51"/>
      <c r="C218" s="52"/>
      <c r="D218" s="53"/>
      <c r="G218" s="52"/>
    </row>
    <row r="219" spans="1:7" s="50" customFormat="1" x14ac:dyDescent="0.3">
      <c r="A219" s="51"/>
      <c r="C219" s="52"/>
      <c r="D219" s="53"/>
      <c r="G219" s="52"/>
    </row>
    <row r="220" spans="1:7" s="50" customFormat="1" x14ac:dyDescent="0.3">
      <c r="A220" s="51"/>
      <c r="C220" s="52"/>
      <c r="D220" s="53"/>
      <c r="G220" s="52"/>
    </row>
    <row r="221" spans="1:7" s="50" customFormat="1" x14ac:dyDescent="0.3">
      <c r="A221" s="51"/>
      <c r="C221" s="52"/>
      <c r="D221" s="53"/>
      <c r="G221" s="52"/>
    </row>
    <row r="222" spans="1:7" s="50" customFormat="1" x14ac:dyDescent="0.3">
      <c r="A222" s="51"/>
      <c r="C222" s="52"/>
      <c r="D222" s="53"/>
      <c r="G222" s="52"/>
    </row>
    <row r="223" spans="1:7" s="50" customFormat="1" x14ac:dyDescent="0.3">
      <c r="A223" s="51"/>
      <c r="C223" s="52"/>
      <c r="D223" s="53"/>
      <c r="G223" s="52"/>
    </row>
    <row r="224" spans="1:7" s="50" customFormat="1" x14ac:dyDescent="0.3">
      <c r="A224" s="51"/>
      <c r="C224" s="52"/>
      <c r="D224" s="53"/>
      <c r="G224" s="52"/>
    </row>
    <row r="225" spans="1:7" s="50" customFormat="1" x14ac:dyDescent="0.3">
      <c r="A225" s="51"/>
      <c r="C225" s="52"/>
      <c r="D225" s="53"/>
      <c r="G225" s="52"/>
    </row>
    <row r="226" spans="1:7" s="50" customFormat="1" x14ac:dyDescent="0.3">
      <c r="A226" s="51"/>
      <c r="C226" s="52"/>
      <c r="D226" s="53"/>
      <c r="G226" s="52"/>
    </row>
    <row r="227" spans="1:7" s="50" customFormat="1" x14ac:dyDescent="0.3">
      <c r="A227" s="51"/>
      <c r="C227" s="52"/>
      <c r="D227" s="53"/>
      <c r="G227" s="52"/>
    </row>
    <row r="228" spans="1:7" s="50" customFormat="1" x14ac:dyDescent="0.3">
      <c r="A228" s="51"/>
      <c r="C228" s="52"/>
      <c r="D228" s="53"/>
      <c r="G228" s="52"/>
    </row>
    <row r="229" spans="1:7" s="50" customFormat="1" x14ac:dyDescent="0.3">
      <c r="A229" s="51"/>
      <c r="C229" s="52"/>
      <c r="D229" s="53"/>
      <c r="G229" s="52"/>
    </row>
    <row r="230" spans="1:7" s="50" customFormat="1" x14ac:dyDescent="0.3">
      <c r="A230" s="51"/>
      <c r="C230" s="52"/>
      <c r="D230" s="53"/>
      <c r="G230" s="52"/>
    </row>
    <row r="231" spans="1:7" s="50" customFormat="1" x14ac:dyDescent="0.3">
      <c r="A231" s="51"/>
      <c r="C231" s="52"/>
      <c r="D231" s="53"/>
      <c r="G231" s="52"/>
    </row>
    <row r="232" spans="1:7" s="50" customFormat="1" x14ac:dyDescent="0.3">
      <c r="A232" s="51"/>
      <c r="C232" s="52"/>
      <c r="D232" s="53"/>
      <c r="G232" s="52"/>
    </row>
    <row r="233" spans="1:7" s="50" customFormat="1" x14ac:dyDescent="0.3">
      <c r="A233" s="51"/>
      <c r="C233" s="52"/>
      <c r="D233" s="53"/>
      <c r="G233" s="52"/>
    </row>
    <row r="234" spans="1:7" s="50" customFormat="1" x14ac:dyDescent="0.3">
      <c r="A234" s="51"/>
      <c r="C234" s="52"/>
      <c r="D234" s="53"/>
      <c r="G234" s="52"/>
    </row>
    <row r="235" spans="1:7" s="50" customFormat="1" x14ac:dyDescent="0.3">
      <c r="A235" s="51"/>
      <c r="C235" s="52"/>
      <c r="D235" s="53"/>
      <c r="G235" s="52"/>
    </row>
    <row r="236" spans="1:7" s="50" customFormat="1" x14ac:dyDescent="0.3">
      <c r="A236" s="51"/>
      <c r="C236" s="52"/>
      <c r="D236" s="53"/>
      <c r="G236" s="52"/>
    </row>
    <row r="237" spans="1:7" s="50" customFormat="1" x14ac:dyDescent="0.3">
      <c r="A237" s="51"/>
      <c r="C237" s="52"/>
      <c r="D237" s="53"/>
      <c r="G237" s="52"/>
    </row>
    <row r="238" spans="1:7" s="50" customFormat="1" x14ac:dyDescent="0.3">
      <c r="A238" s="51"/>
      <c r="C238" s="52"/>
      <c r="D238" s="53"/>
      <c r="G238" s="52"/>
    </row>
    <row r="239" spans="1:7" s="50" customFormat="1" x14ac:dyDescent="0.3">
      <c r="A239" s="51"/>
      <c r="C239" s="52"/>
      <c r="D239" s="53"/>
      <c r="G239" s="52"/>
    </row>
    <row r="240" spans="1:7" s="50" customFormat="1" x14ac:dyDescent="0.3">
      <c r="A240" s="51"/>
      <c r="C240" s="52"/>
      <c r="D240" s="53"/>
      <c r="G240" s="52"/>
    </row>
    <row r="241" spans="1:7" s="50" customFormat="1" x14ac:dyDescent="0.3">
      <c r="A241" s="51"/>
      <c r="C241" s="52"/>
      <c r="D241" s="53"/>
      <c r="G241" s="52"/>
    </row>
    <row r="242" spans="1:7" s="50" customFormat="1" x14ac:dyDescent="0.3">
      <c r="A242" s="51"/>
      <c r="C242" s="52"/>
      <c r="D242" s="53"/>
      <c r="G242" s="52"/>
    </row>
    <row r="243" spans="1:7" s="50" customFormat="1" x14ac:dyDescent="0.3">
      <c r="A243" s="51"/>
      <c r="C243" s="52"/>
      <c r="D243" s="53"/>
      <c r="G243" s="52"/>
    </row>
    <row r="244" spans="1:7" s="50" customFormat="1" x14ac:dyDescent="0.3">
      <c r="A244" s="51"/>
      <c r="C244" s="52"/>
      <c r="D244" s="53"/>
      <c r="G244" s="52"/>
    </row>
    <row r="245" spans="1:7" s="50" customFormat="1" x14ac:dyDescent="0.3">
      <c r="A245" s="51"/>
      <c r="C245" s="52"/>
      <c r="D245" s="53"/>
      <c r="G245" s="52"/>
    </row>
    <row r="246" spans="1:7" s="50" customFormat="1" x14ac:dyDescent="0.3">
      <c r="A246" s="51"/>
      <c r="C246" s="52"/>
      <c r="D246" s="53"/>
      <c r="G246" s="52"/>
    </row>
    <row r="247" spans="1:7" s="50" customFormat="1" x14ac:dyDescent="0.3">
      <c r="A247" s="51"/>
      <c r="C247" s="52"/>
      <c r="D247" s="53"/>
      <c r="G247" s="52"/>
    </row>
    <row r="248" spans="1:7" s="50" customFormat="1" x14ac:dyDescent="0.3">
      <c r="A248" s="51"/>
      <c r="C248" s="52"/>
      <c r="D248" s="53"/>
      <c r="G248" s="52"/>
    </row>
    <row r="249" spans="1:7" s="50" customFormat="1" x14ac:dyDescent="0.3">
      <c r="A249" s="51"/>
      <c r="C249" s="52"/>
      <c r="D249" s="53"/>
      <c r="G249" s="52"/>
    </row>
    <row r="250" spans="1:7" s="50" customFormat="1" x14ac:dyDescent="0.3">
      <c r="A250" s="51"/>
      <c r="C250" s="52"/>
      <c r="D250" s="53"/>
      <c r="G250" s="52"/>
    </row>
    <row r="251" spans="1:7" s="50" customFormat="1" x14ac:dyDescent="0.3">
      <c r="A251" s="51"/>
      <c r="C251" s="52"/>
      <c r="D251" s="53"/>
      <c r="G251" s="52"/>
    </row>
    <row r="252" spans="1:7" s="50" customFormat="1" x14ac:dyDescent="0.3">
      <c r="A252" s="51"/>
      <c r="C252" s="52"/>
      <c r="D252" s="53"/>
      <c r="G252" s="52"/>
    </row>
    <row r="253" spans="1:7" s="50" customFormat="1" x14ac:dyDescent="0.3">
      <c r="A253" s="51"/>
      <c r="C253" s="52"/>
      <c r="D253" s="53"/>
      <c r="G253" s="52"/>
    </row>
    <row r="254" spans="1:7" s="50" customFormat="1" x14ac:dyDescent="0.3">
      <c r="A254" s="51"/>
      <c r="C254" s="52"/>
      <c r="D254" s="53"/>
      <c r="G254" s="52"/>
    </row>
    <row r="255" spans="1:7" s="50" customFormat="1" x14ac:dyDescent="0.3">
      <c r="A255" s="51"/>
      <c r="C255" s="52"/>
      <c r="D255" s="53"/>
      <c r="G255" s="52"/>
    </row>
    <row r="256" spans="1:7" s="50" customFormat="1" x14ac:dyDescent="0.3">
      <c r="A256" s="51"/>
      <c r="C256" s="52"/>
      <c r="D256" s="53"/>
      <c r="G256" s="52"/>
    </row>
    <row r="257" spans="1:7" s="50" customFormat="1" x14ac:dyDescent="0.3">
      <c r="A257" s="51"/>
      <c r="C257" s="52"/>
      <c r="D257" s="53"/>
      <c r="G257" s="52"/>
    </row>
    <row r="258" spans="1:7" s="50" customFormat="1" x14ac:dyDescent="0.3">
      <c r="A258" s="51"/>
      <c r="C258" s="52"/>
      <c r="D258" s="53"/>
      <c r="G258" s="52"/>
    </row>
    <row r="259" spans="1:7" s="50" customFormat="1" x14ac:dyDescent="0.3">
      <c r="A259" s="51"/>
      <c r="C259" s="52"/>
      <c r="D259" s="53"/>
      <c r="G259" s="52"/>
    </row>
    <row r="260" spans="1:7" s="50" customFormat="1" x14ac:dyDescent="0.3">
      <c r="A260" s="51"/>
      <c r="C260" s="52"/>
      <c r="D260" s="53"/>
      <c r="G260" s="52"/>
    </row>
    <row r="261" spans="1:7" s="50" customFormat="1" x14ac:dyDescent="0.3">
      <c r="A261" s="51"/>
      <c r="C261" s="52"/>
      <c r="D261" s="53"/>
      <c r="G261" s="52"/>
    </row>
    <row r="262" spans="1:7" s="50" customFormat="1" x14ac:dyDescent="0.3">
      <c r="A262" s="51"/>
      <c r="C262" s="52"/>
      <c r="D262" s="53"/>
      <c r="G262" s="52"/>
    </row>
    <row r="263" spans="1:7" s="50" customFormat="1" x14ac:dyDescent="0.3">
      <c r="A263" s="51"/>
      <c r="C263" s="52"/>
      <c r="D263" s="53"/>
      <c r="G263" s="52"/>
    </row>
    <row r="264" spans="1:7" s="50" customFormat="1" x14ac:dyDescent="0.3">
      <c r="A264" s="51"/>
      <c r="C264" s="52"/>
      <c r="D264" s="53"/>
      <c r="G264" s="52"/>
    </row>
    <row r="265" spans="1:7" s="50" customFormat="1" x14ac:dyDescent="0.3">
      <c r="A265" s="51"/>
      <c r="C265" s="52"/>
      <c r="D265" s="53"/>
      <c r="G265" s="52"/>
    </row>
    <row r="266" spans="1:7" s="50" customFormat="1" x14ac:dyDescent="0.3">
      <c r="A266" s="51"/>
      <c r="C266" s="52"/>
      <c r="D266" s="53"/>
      <c r="G266" s="52"/>
    </row>
    <row r="267" spans="1:7" s="50" customFormat="1" x14ac:dyDescent="0.3">
      <c r="A267" s="51"/>
      <c r="C267" s="52"/>
      <c r="D267" s="53"/>
      <c r="G267" s="52"/>
    </row>
    <row r="268" spans="1:7" s="50" customFormat="1" x14ac:dyDescent="0.3">
      <c r="A268" s="51"/>
      <c r="C268" s="52"/>
      <c r="D268" s="53"/>
      <c r="G268" s="52"/>
    </row>
    <row r="269" spans="1:7" s="50" customFormat="1" x14ac:dyDescent="0.3">
      <c r="A269" s="51"/>
      <c r="C269" s="52"/>
      <c r="D269" s="53"/>
      <c r="G269" s="52"/>
    </row>
    <row r="270" spans="1:7" s="50" customFormat="1" x14ac:dyDescent="0.3">
      <c r="A270" s="51"/>
      <c r="C270" s="52"/>
      <c r="D270" s="53"/>
      <c r="G270" s="52"/>
    </row>
    <row r="271" spans="1:7" s="50" customFormat="1" x14ac:dyDescent="0.3">
      <c r="A271" s="51"/>
      <c r="C271" s="52"/>
      <c r="D271" s="53"/>
      <c r="G271" s="52"/>
    </row>
    <row r="272" spans="1:7" s="50" customFormat="1" x14ac:dyDescent="0.3">
      <c r="A272" s="51"/>
      <c r="C272" s="52"/>
      <c r="D272" s="53"/>
      <c r="G272" s="52"/>
    </row>
    <row r="273" spans="1:7" s="50" customFormat="1" x14ac:dyDescent="0.3">
      <c r="A273" s="51"/>
      <c r="C273" s="52"/>
      <c r="D273" s="53"/>
      <c r="G273" s="52"/>
    </row>
    <row r="274" spans="1:7" s="50" customFormat="1" x14ac:dyDescent="0.3">
      <c r="A274" s="51"/>
      <c r="C274" s="52"/>
      <c r="D274" s="53"/>
      <c r="G274" s="52"/>
    </row>
    <row r="275" spans="1:7" s="50" customFormat="1" x14ac:dyDescent="0.3">
      <c r="A275" s="51"/>
      <c r="C275" s="52"/>
      <c r="D275" s="53"/>
      <c r="G275" s="52"/>
    </row>
    <row r="276" spans="1:7" s="50" customFormat="1" x14ac:dyDescent="0.3">
      <c r="A276" s="51"/>
      <c r="C276" s="52"/>
      <c r="D276" s="53"/>
      <c r="G276" s="52"/>
    </row>
    <row r="277" spans="1:7" s="50" customFormat="1" x14ac:dyDescent="0.3">
      <c r="A277" s="51"/>
      <c r="C277" s="52"/>
      <c r="D277" s="53"/>
      <c r="G277" s="52"/>
    </row>
    <row r="278" spans="1:7" s="50" customFormat="1" x14ac:dyDescent="0.3">
      <c r="A278" s="51"/>
      <c r="C278" s="52"/>
      <c r="D278" s="53"/>
      <c r="G278" s="52"/>
    </row>
    <row r="279" spans="1:7" s="50" customFormat="1" x14ac:dyDescent="0.3">
      <c r="A279" s="51"/>
      <c r="C279" s="52"/>
      <c r="D279" s="53"/>
      <c r="G279" s="52"/>
    </row>
    <row r="280" spans="1:7" s="50" customFormat="1" x14ac:dyDescent="0.3">
      <c r="A280" s="51"/>
      <c r="C280" s="52"/>
      <c r="D280" s="53"/>
      <c r="G280" s="52"/>
    </row>
    <row r="281" spans="1:7" s="50" customFormat="1" x14ac:dyDescent="0.3">
      <c r="A281" s="51"/>
      <c r="C281" s="52"/>
      <c r="D281" s="53"/>
      <c r="G281" s="52"/>
    </row>
    <row r="282" spans="1:7" s="50" customFormat="1" x14ac:dyDescent="0.3">
      <c r="A282" s="51"/>
      <c r="C282" s="52"/>
      <c r="D282" s="53"/>
      <c r="G282" s="52"/>
    </row>
    <row r="283" spans="1:7" s="50" customFormat="1" x14ac:dyDescent="0.3">
      <c r="A283" s="51"/>
      <c r="C283" s="52"/>
      <c r="D283" s="53"/>
      <c r="G283" s="52"/>
    </row>
    <row r="284" spans="1:7" s="50" customFormat="1" x14ac:dyDescent="0.3">
      <c r="A284" s="51"/>
      <c r="C284" s="52"/>
      <c r="D284" s="53"/>
      <c r="G284" s="52"/>
    </row>
    <row r="285" spans="1:7" s="50" customFormat="1" x14ac:dyDescent="0.3">
      <c r="A285" s="51"/>
      <c r="C285" s="52"/>
      <c r="D285" s="53"/>
      <c r="G285" s="52"/>
    </row>
    <row r="286" spans="1:7" s="50" customFormat="1" x14ac:dyDescent="0.3">
      <c r="A286" s="51"/>
      <c r="C286" s="52"/>
      <c r="D286" s="53"/>
      <c r="G286" s="52"/>
    </row>
    <row r="287" spans="1:7" s="50" customFormat="1" x14ac:dyDescent="0.3">
      <c r="A287" s="51"/>
      <c r="C287" s="52"/>
      <c r="D287" s="53"/>
      <c r="G287" s="52"/>
    </row>
    <row r="288" spans="1:7" s="50" customFormat="1" x14ac:dyDescent="0.3">
      <c r="A288" s="51"/>
      <c r="C288" s="52"/>
      <c r="D288" s="53"/>
      <c r="G288" s="52"/>
    </row>
    <row r="289" spans="1:7" s="50" customFormat="1" x14ac:dyDescent="0.3">
      <c r="A289" s="51"/>
      <c r="C289" s="52"/>
      <c r="D289" s="53"/>
      <c r="G289" s="52"/>
    </row>
    <row r="290" spans="1:7" s="50" customFormat="1" x14ac:dyDescent="0.3">
      <c r="A290" s="51"/>
      <c r="C290" s="52"/>
      <c r="D290" s="53"/>
      <c r="G290" s="52"/>
    </row>
    <row r="291" spans="1:7" s="50" customFormat="1" x14ac:dyDescent="0.3">
      <c r="A291" s="51"/>
      <c r="C291" s="52"/>
      <c r="D291" s="53"/>
      <c r="G291" s="52"/>
    </row>
    <row r="292" spans="1:7" s="50" customFormat="1" x14ac:dyDescent="0.3">
      <c r="A292" s="51"/>
      <c r="C292" s="52"/>
      <c r="D292" s="53"/>
      <c r="G292" s="52"/>
    </row>
    <row r="293" spans="1:7" s="50" customFormat="1" x14ac:dyDescent="0.3">
      <c r="A293" s="51"/>
      <c r="C293" s="52"/>
      <c r="D293" s="53"/>
      <c r="G293" s="52"/>
    </row>
    <row r="294" spans="1:7" s="50" customFormat="1" x14ac:dyDescent="0.3">
      <c r="A294" s="51"/>
      <c r="C294" s="52"/>
      <c r="D294" s="53"/>
      <c r="G294" s="52"/>
    </row>
    <row r="295" spans="1:7" s="50" customFormat="1" x14ac:dyDescent="0.3">
      <c r="A295" s="51"/>
      <c r="C295" s="52"/>
      <c r="D295" s="53"/>
      <c r="G295" s="52"/>
    </row>
    <row r="296" spans="1:7" s="50" customFormat="1" x14ac:dyDescent="0.3">
      <c r="A296" s="51"/>
      <c r="C296" s="52"/>
      <c r="D296" s="53"/>
      <c r="G296" s="52"/>
    </row>
    <row r="297" spans="1:7" s="50" customFormat="1" x14ac:dyDescent="0.3">
      <c r="A297" s="51"/>
      <c r="C297" s="52"/>
      <c r="D297" s="53"/>
      <c r="G297" s="52"/>
    </row>
    <row r="298" spans="1:7" s="50" customFormat="1" x14ac:dyDescent="0.3">
      <c r="A298" s="51"/>
      <c r="C298" s="52"/>
      <c r="D298" s="53"/>
      <c r="G298" s="52"/>
    </row>
    <row r="299" spans="1:7" s="50" customFormat="1" x14ac:dyDescent="0.3">
      <c r="A299" s="51"/>
      <c r="C299" s="52"/>
      <c r="D299" s="53"/>
      <c r="G299" s="52"/>
    </row>
    <row r="300" spans="1:7" s="50" customFormat="1" x14ac:dyDescent="0.3">
      <c r="A300" s="51"/>
      <c r="C300" s="52"/>
      <c r="D300" s="53"/>
      <c r="G300" s="52"/>
    </row>
    <row r="301" spans="1:7" s="50" customFormat="1" x14ac:dyDescent="0.3">
      <c r="A301" s="51"/>
      <c r="C301" s="52"/>
      <c r="D301" s="53"/>
      <c r="G301" s="52"/>
    </row>
    <row r="302" spans="1:7" s="50" customFormat="1" x14ac:dyDescent="0.3">
      <c r="A302" s="51"/>
      <c r="C302" s="52"/>
      <c r="D302" s="53"/>
      <c r="G302" s="52"/>
    </row>
    <row r="303" spans="1:7" s="50" customFormat="1" x14ac:dyDescent="0.3">
      <c r="A303" s="51"/>
      <c r="C303" s="52"/>
      <c r="D303" s="53"/>
      <c r="G303" s="52"/>
    </row>
    <row r="304" spans="1:7" s="50" customFormat="1" x14ac:dyDescent="0.3">
      <c r="A304" s="51"/>
      <c r="C304" s="52"/>
      <c r="D304" s="53"/>
      <c r="G304" s="52"/>
    </row>
    <row r="305" spans="1:7" s="50" customFormat="1" x14ac:dyDescent="0.3">
      <c r="A305" s="51"/>
      <c r="C305" s="52"/>
      <c r="D305" s="53"/>
      <c r="G305" s="52"/>
    </row>
    <row r="306" spans="1:7" s="50" customFormat="1" x14ac:dyDescent="0.3">
      <c r="A306" s="51"/>
      <c r="C306" s="52"/>
      <c r="D306" s="53"/>
      <c r="G306" s="52"/>
    </row>
    <row r="307" spans="1:7" s="50" customFormat="1" x14ac:dyDescent="0.3">
      <c r="A307" s="51"/>
      <c r="C307" s="52"/>
      <c r="D307" s="53"/>
      <c r="G307" s="52"/>
    </row>
    <row r="308" spans="1:7" s="50" customFormat="1" x14ac:dyDescent="0.3">
      <c r="A308" s="51"/>
      <c r="C308" s="52"/>
      <c r="D308" s="53"/>
      <c r="G308" s="52"/>
    </row>
    <row r="309" spans="1:7" s="50" customFormat="1" x14ac:dyDescent="0.3">
      <c r="A309" s="51"/>
      <c r="C309" s="52"/>
      <c r="D309" s="53"/>
      <c r="G309" s="52"/>
    </row>
    <row r="310" spans="1:7" s="50" customFormat="1" x14ac:dyDescent="0.3">
      <c r="A310" s="51"/>
      <c r="C310" s="52"/>
      <c r="D310" s="53"/>
      <c r="G310" s="52"/>
    </row>
    <row r="311" spans="1:7" s="50" customFormat="1" x14ac:dyDescent="0.3">
      <c r="A311" s="51"/>
      <c r="C311" s="52"/>
      <c r="D311" s="53"/>
      <c r="G311" s="52"/>
    </row>
    <row r="312" spans="1:7" s="50" customFormat="1" x14ac:dyDescent="0.3">
      <c r="A312" s="51"/>
      <c r="C312" s="52"/>
      <c r="D312" s="53"/>
      <c r="G312" s="52"/>
    </row>
    <row r="313" spans="1:7" s="50" customFormat="1" x14ac:dyDescent="0.3">
      <c r="A313" s="51"/>
      <c r="C313" s="52"/>
      <c r="D313" s="53"/>
      <c r="G313" s="52"/>
    </row>
    <row r="314" spans="1:7" s="50" customFormat="1" x14ac:dyDescent="0.3">
      <c r="A314" s="51"/>
      <c r="C314" s="52"/>
      <c r="D314" s="53"/>
      <c r="G314" s="52"/>
    </row>
    <row r="315" spans="1:7" s="50" customFormat="1" x14ac:dyDescent="0.3">
      <c r="A315" s="51"/>
      <c r="C315" s="52"/>
      <c r="D315" s="53"/>
      <c r="G315" s="52"/>
    </row>
    <row r="316" spans="1:7" s="50" customFormat="1" x14ac:dyDescent="0.3">
      <c r="A316" s="51"/>
      <c r="C316" s="52"/>
      <c r="D316" s="53"/>
      <c r="G316" s="52"/>
    </row>
    <row r="317" spans="1:7" s="50" customFormat="1" x14ac:dyDescent="0.3">
      <c r="A317" s="51"/>
      <c r="C317" s="52"/>
      <c r="D317" s="53"/>
      <c r="G317" s="52"/>
    </row>
    <row r="318" spans="1:7" s="50" customFormat="1" x14ac:dyDescent="0.3">
      <c r="A318" s="51"/>
      <c r="C318" s="52"/>
      <c r="D318" s="53"/>
      <c r="G318" s="52"/>
    </row>
    <row r="319" spans="1:7" s="50" customFormat="1" x14ac:dyDescent="0.3">
      <c r="A319" s="51"/>
      <c r="C319" s="52"/>
      <c r="D319" s="53"/>
      <c r="G319" s="52"/>
    </row>
    <row r="320" spans="1:7" s="50" customFormat="1" x14ac:dyDescent="0.3">
      <c r="A320" s="51"/>
      <c r="C320" s="52"/>
      <c r="D320" s="53"/>
      <c r="G320" s="52"/>
    </row>
    <row r="321" spans="1:7" s="50" customFormat="1" x14ac:dyDescent="0.3">
      <c r="A321" s="51"/>
      <c r="C321" s="52"/>
      <c r="D321" s="53"/>
      <c r="G321" s="52"/>
    </row>
    <row r="322" spans="1:7" s="50" customFormat="1" x14ac:dyDescent="0.3">
      <c r="A322" s="51"/>
      <c r="C322" s="52"/>
      <c r="D322" s="53"/>
      <c r="G322" s="52"/>
    </row>
    <row r="323" spans="1:7" s="50" customFormat="1" x14ac:dyDescent="0.3">
      <c r="A323" s="51"/>
      <c r="C323" s="52"/>
      <c r="D323" s="53"/>
      <c r="G323" s="52"/>
    </row>
    <row r="324" spans="1:7" s="50" customFormat="1" x14ac:dyDescent="0.3">
      <c r="A324" s="51"/>
      <c r="C324" s="52"/>
      <c r="D324" s="53"/>
      <c r="G324" s="52"/>
    </row>
    <row r="325" spans="1:7" s="50" customFormat="1" x14ac:dyDescent="0.3">
      <c r="A325" s="51"/>
      <c r="C325" s="52"/>
      <c r="D325" s="53"/>
      <c r="G325" s="52"/>
    </row>
    <row r="326" spans="1:7" s="50" customFormat="1" x14ac:dyDescent="0.3">
      <c r="A326" s="51"/>
      <c r="C326" s="52"/>
      <c r="D326" s="53"/>
      <c r="G326" s="52"/>
    </row>
    <row r="327" spans="1:7" s="50" customFormat="1" x14ac:dyDescent="0.3">
      <c r="A327" s="51"/>
      <c r="C327" s="52"/>
      <c r="D327" s="53"/>
      <c r="G327" s="52"/>
    </row>
    <row r="328" spans="1:7" s="50" customFormat="1" x14ac:dyDescent="0.3">
      <c r="A328" s="51"/>
      <c r="C328" s="52"/>
      <c r="D328" s="53"/>
      <c r="G328" s="52"/>
    </row>
    <row r="329" spans="1:7" s="50" customFormat="1" x14ac:dyDescent="0.3">
      <c r="A329" s="51"/>
      <c r="C329" s="52"/>
      <c r="D329" s="53"/>
      <c r="G329" s="52"/>
    </row>
    <row r="330" spans="1:7" s="50" customFormat="1" x14ac:dyDescent="0.3">
      <c r="A330" s="51"/>
      <c r="C330" s="52"/>
      <c r="D330" s="53"/>
      <c r="G330" s="52"/>
    </row>
    <row r="331" spans="1:7" s="50" customFormat="1" x14ac:dyDescent="0.3">
      <c r="A331" s="51"/>
      <c r="C331" s="52"/>
      <c r="D331" s="53"/>
      <c r="G331" s="52"/>
    </row>
    <row r="332" spans="1:7" s="50" customFormat="1" x14ac:dyDescent="0.3">
      <c r="A332" s="51"/>
      <c r="C332" s="52"/>
      <c r="D332" s="53"/>
      <c r="G332" s="52"/>
    </row>
    <row r="333" spans="1:7" s="50" customFormat="1" x14ac:dyDescent="0.3">
      <c r="A333" s="51"/>
      <c r="C333" s="52"/>
      <c r="D333" s="53"/>
      <c r="G333" s="52"/>
    </row>
    <row r="334" spans="1:7" s="50" customFormat="1" x14ac:dyDescent="0.3">
      <c r="A334" s="51"/>
      <c r="C334" s="52"/>
      <c r="D334" s="53"/>
      <c r="G334" s="52"/>
    </row>
    <row r="335" spans="1:7" s="50" customFormat="1" x14ac:dyDescent="0.3">
      <c r="A335" s="51"/>
      <c r="C335" s="52"/>
      <c r="D335" s="53"/>
      <c r="G335" s="52"/>
    </row>
    <row r="336" spans="1:7" s="50" customFormat="1" x14ac:dyDescent="0.3">
      <c r="A336" s="51"/>
      <c r="C336" s="52"/>
      <c r="D336" s="53"/>
      <c r="G336" s="52"/>
    </row>
    <row r="337" spans="1:7" s="50" customFormat="1" x14ac:dyDescent="0.3">
      <c r="A337" s="51"/>
      <c r="C337" s="52"/>
      <c r="D337" s="53"/>
      <c r="G337" s="52"/>
    </row>
    <row r="338" spans="1:7" s="50" customFormat="1" x14ac:dyDescent="0.3">
      <c r="A338" s="51"/>
      <c r="C338" s="52"/>
      <c r="D338" s="53"/>
      <c r="G338" s="52"/>
    </row>
    <row r="339" spans="1:7" s="50" customFormat="1" x14ac:dyDescent="0.3">
      <c r="A339" s="51"/>
      <c r="C339" s="52"/>
      <c r="D339" s="53"/>
      <c r="G339" s="52"/>
    </row>
    <row r="340" spans="1:7" s="50" customFormat="1" x14ac:dyDescent="0.3">
      <c r="A340" s="51"/>
      <c r="C340" s="52"/>
      <c r="D340" s="53"/>
      <c r="G340" s="52"/>
    </row>
    <row r="341" spans="1:7" s="50" customFormat="1" x14ac:dyDescent="0.3">
      <c r="A341" s="51"/>
      <c r="C341" s="52"/>
      <c r="D341" s="53"/>
      <c r="G341" s="52"/>
    </row>
    <row r="342" spans="1:7" s="50" customFormat="1" x14ac:dyDescent="0.3">
      <c r="A342" s="51"/>
      <c r="C342" s="52"/>
      <c r="D342" s="53"/>
      <c r="G342" s="52"/>
    </row>
    <row r="343" spans="1:7" s="50" customFormat="1" x14ac:dyDescent="0.3">
      <c r="A343" s="51"/>
      <c r="C343" s="52"/>
      <c r="D343" s="53"/>
      <c r="G343" s="52"/>
    </row>
    <row r="344" spans="1:7" s="50" customFormat="1" x14ac:dyDescent="0.3">
      <c r="A344" s="51"/>
      <c r="C344" s="52"/>
      <c r="D344" s="53"/>
      <c r="G344" s="52"/>
    </row>
    <row r="345" spans="1:7" s="50" customFormat="1" x14ac:dyDescent="0.3">
      <c r="A345" s="51"/>
      <c r="C345" s="52"/>
      <c r="D345" s="53"/>
      <c r="G345" s="52"/>
    </row>
    <row r="346" spans="1:7" s="50" customFormat="1" x14ac:dyDescent="0.3">
      <c r="A346" s="51"/>
      <c r="C346" s="52"/>
      <c r="D346" s="53"/>
      <c r="G346" s="52"/>
    </row>
    <row r="347" spans="1:7" s="50" customFormat="1" x14ac:dyDescent="0.3">
      <c r="A347" s="51"/>
      <c r="C347" s="52"/>
      <c r="D347" s="53"/>
      <c r="G347" s="52"/>
    </row>
    <row r="348" spans="1:7" s="50" customFormat="1" x14ac:dyDescent="0.3">
      <c r="A348" s="51"/>
      <c r="C348" s="52"/>
      <c r="D348" s="53"/>
      <c r="G348" s="52"/>
    </row>
    <row r="349" spans="1:7" s="50" customFormat="1" x14ac:dyDescent="0.3">
      <c r="A349" s="51"/>
      <c r="C349" s="52"/>
      <c r="D349" s="53"/>
      <c r="G349" s="52"/>
    </row>
    <row r="350" spans="1:7" s="50" customFormat="1" x14ac:dyDescent="0.3">
      <c r="A350" s="51"/>
      <c r="C350" s="52"/>
      <c r="D350" s="53"/>
      <c r="G350" s="52"/>
    </row>
    <row r="351" spans="1:7" s="50" customFormat="1" x14ac:dyDescent="0.3">
      <c r="A351" s="51"/>
      <c r="C351" s="52"/>
      <c r="D351" s="53"/>
      <c r="G351" s="52"/>
    </row>
    <row r="352" spans="1:7" s="50" customFormat="1" x14ac:dyDescent="0.3">
      <c r="A352" s="51"/>
      <c r="C352" s="52"/>
      <c r="D352" s="53"/>
      <c r="G352" s="52"/>
    </row>
    <row r="353" spans="1:7" s="50" customFormat="1" x14ac:dyDescent="0.3">
      <c r="A353" s="51"/>
      <c r="C353" s="52"/>
      <c r="D353" s="53"/>
      <c r="G353" s="52"/>
    </row>
    <row r="354" spans="1:7" s="50" customFormat="1" x14ac:dyDescent="0.3">
      <c r="A354" s="51"/>
      <c r="C354" s="52"/>
      <c r="D354" s="53"/>
      <c r="G354" s="52"/>
    </row>
    <row r="355" spans="1:7" s="50" customFormat="1" x14ac:dyDescent="0.3">
      <c r="A355" s="51"/>
      <c r="C355" s="52"/>
      <c r="D355" s="53"/>
      <c r="G355" s="52"/>
    </row>
    <row r="356" spans="1:7" s="50" customFormat="1" x14ac:dyDescent="0.3">
      <c r="A356" s="51"/>
      <c r="C356" s="52"/>
      <c r="D356" s="53"/>
      <c r="G356" s="52"/>
    </row>
    <row r="357" spans="1:7" s="50" customFormat="1" x14ac:dyDescent="0.3">
      <c r="A357" s="51"/>
      <c r="C357" s="52"/>
      <c r="D357" s="53"/>
      <c r="G357" s="52"/>
    </row>
    <row r="358" spans="1:7" s="50" customFormat="1" x14ac:dyDescent="0.3">
      <c r="A358" s="51"/>
      <c r="C358" s="52"/>
      <c r="D358" s="53"/>
      <c r="G358" s="52"/>
    </row>
    <row r="359" spans="1:7" s="50" customFormat="1" x14ac:dyDescent="0.3">
      <c r="A359" s="51"/>
      <c r="C359" s="52"/>
      <c r="D359" s="53"/>
      <c r="G359" s="52"/>
    </row>
    <row r="360" spans="1:7" s="50" customFormat="1" x14ac:dyDescent="0.3">
      <c r="A360" s="51"/>
      <c r="C360" s="52"/>
      <c r="D360" s="53"/>
      <c r="G360" s="52"/>
    </row>
    <row r="361" spans="1:7" s="50" customFormat="1" x14ac:dyDescent="0.3">
      <c r="A361" s="51"/>
      <c r="C361" s="52"/>
      <c r="D361" s="53"/>
      <c r="G361" s="52"/>
    </row>
    <row r="362" spans="1:7" s="50" customFormat="1" x14ac:dyDescent="0.3">
      <c r="A362" s="51"/>
      <c r="C362" s="52"/>
      <c r="D362" s="53"/>
      <c r="G362" s="52"/>
    </row>
    <row r="363" spans="1:7" s="50" customFormat="1" x14ac:dyDescent="0.3">
      <c r="A363" s="51"/>
      <c r="C363" s="52"/>
      <c r="D363" s="53"/>
      <c r="G363" s="52"/>
    </row>
    <row r="364" spans="1:7" s="50" customFormat="1" x14ac:dyDescent="0.3">
      <c r="A364" s="51"/>
      <c r="C364" s="52"/>
      <c r="D364" s="53"/>
      <c r="G364" s="52"/>
    </row>
    <row r="365" spans="1:7" s="50" customFormat="1" x14ac:dyDescent="0.3">
      <c r="A365" s="51"/>
      <c r="C365" s="52"/>
      <c r="D365" s="53"/>
      <c r="G365" s="52"/>
    </row>
    <row r="366" spans="1:7" s="50" customFormat="1" x14ac:dyDescent="0.3">
      <c r="A366" s="51"/>
      <c r="C366" s="52"/>
      <c r="D366" s="53"/>
      <c r="G366" s="52"/>
    </row>
    <row r="367" spans="1:7" s="50" customFormat="1" x14ac:dyDescent="0.3">
      <c r="A367" s="51"/>
      <c r="C367" s="52"/>
      <c r="D367" s="53"/>
      <c r="G367" s="52"/>
    </row>
    <row r="368" spans="1:7" s="50" customFormat="1" x14ac:dyDescent="0.3">
      <c r="A368" s="51"/>
      <c r="C368" s="52"/>
      <c r="D368" s="53"/>
      <c r="G368" s="52"/>
    </row>
    <row r="369" spans="1:7" s="50" customFormat="1" x14ac:dyDescent="0.3">
      <c r="A369" s="51"/>
      <c r="C369" s="52"/>
      <c r="D369" s="53"/>
      <c r="G369" s="52"/>
    </row>
    <row r="370" spans="1:7" s="50" customFormat="1" x14ac:dyDescent="0.3">
      <c r="A370" s="51"/>
      <c r="C370" s="52"/>
      <c r="D370" s="53"/>
      <c r="G370" s="52"/>
    </row>
    <row r="371" spans="1:7" s="50" customFormat="1" x14ac:dyDescent="0.3">
      <c r="A371" s="51"/>
      <c r="C371" s="52"/>
      <c r="D371" s="53"/>
      <c r="G371" s="52"/>
    </row>
    <row r="372" spans="1:7" s="50" customFormat="1" x14ac:dyDescent="0.3">
      <c r="A372" s="51"/>
      <c r="C372" s="52"/>
      <c r="D372" s="53"/>
      <c r="G372" s="52"/>
    </row>
    <row r="373" spans="1:7" s="50" customFormat="1" x14ac:dyDescent="0.3">
      <c r="A373" s="51"/>
      <c r="C373" s="52"/>
      <c r="D373" s="53"/>
      <c r="G373" s="52"/>
    </row>
    <row r="374" spans="1:7" s="50" customFormat="1" x14ac:dyDescent="0.3">
      <c r="A374" s="51"/>
      <c r="C374" s="52"/>
      <c r="D374" s="53"/>
      <c r="G374" s="52"/>
    </row>
    <row r="375" spans="1:7" s="50" customFormat="1" x14ac:dyDescent="0.3">
      <c r="A375" s="51"/>
      <c r="C375" s="52"/>
      <c r="D375" s="53"/>
      <c r="G375" s="52"/>
    </row>
    <row r="376" spans="1:7" s="50" customFormat="1" x14ac:dyDescent="0.3">
      <c r="A376" s="51"/>
      <c r="C376" s="52"/>
      <c r="D376" s="53"/>
      <c r="G376" s="52"/>
    </row>
    <row r="377" spans="1:7" s="50" customFormat="1" x14ac:dyDescent="0.3">
      <c r="A377" s="51"/>
      <c r="C377" s="52"/>
      <c r="D377" s="53"/>
      <c r="G377" s="52"/>
    </row>
    <row r="378" spans="1:7" s="50" customFormat="1" x14ac:dyDescent="0.3">
      <c r="A378" s="51"/>
      <c r="C378" s="52"/>
      <c r="D378" s="53"/>
      <c r="G378" s="52"/>
    </row>
    <row r="379" spans="1:7" s="50" customFormat="1" x14ac:dyDescent="0.3">
      <c r="A379" s="51"/>
      <c r="C379" s="52"/>
      <c r="D379" s="53"/>
      <c r="G379" s="52"/>
    </row>
    <row r="380" spans="1:7" s="50" customFormat="1" x14ac:dyDescent="0.3">
      <c r="A380" s="51"/>
      <c r="C380" s="52"/>
      <c r="D380" s="53"/>
      <c r="G380" s="52"/>
    </row>
    <row r="381" spans="1:7" s="50" customFormat="1" x14ac:dyDescent="0.3">
      <c r="A381" s="51"/>
      <c r="C381" s="52"/>
      <c r="D381" s="53"/>
      <c r="G381" s="52"/>
    </row>
    <row r="382" spans="1:7" s="50" customFormat="1" x14ac:dyDescent="0.3">
      <c r="A382" s="51"/>
      <c r="C382" s="52"/>
      <c r="D382" s="53"/>
      <c r="G382" s="52"/>
    </row>
    <row r="383" spans="1:7" s="50" customFormat="1" x14ac:dyDescent="0.3">
      <c r="A383" s="51"/>
      <c r="C383" s="52"/>
      <c r="D383" s="53"/>
      <c r="G383" s="52"/>
    </row>
    <row r="384" spans="1:7" s="50" customFormat="1" x14ac:dyDescent="0.3">
      <c r="A384" s="51"/>
      <c r="C384" s="52"/>
      <c r="D384" s="53"/>
      <c r="G384" s="52"/>
    </row>
    <row r="385" spans="1:7" s="50" customFormat="1" x14ac:dyDescent="0.3">
      <c r="A385" s="51"/>
      <c r="C385" s="52"/>
      <c r="D385" s="53"/>
      <c r="G385" s="52"/>
    </row>
    <row r="386" spans="1:7" s="50" customFormat="1" x14ac:dyDescent="0.3">
      <c r="A386" s="51"/>
      <c r="C386" s="52"/>
      <c r="D386" s="53"/>
      <c r="G386" s="52"/>
    </row>
    <row r="387" spans="1:7" s="50" customFormat="1" x14ac:dyDescent="0.3">
      <c r="A387" s="51"/>
      <c r="C387" s="52"/>
      <c r="D387" s="53"/>
      <c r="G387" s="52"/>
    </row>
    <row r="388" spans="1:7" s="50" customFormat="1" x14ac:dyDescent="0.3">
      <c r="A388" s="51"/>
      <c r="C388" s="52"/>
      <c r="D388" s="53"/>
      <c r="G388" s="52"/>
    </row>
    <row r="389" spans="1:7" s="50" customFormat="1" x14ac:dyDescent="0.3">
      <c r="A389" s="51"/>
      <c r="C389" s="52"/>
      <c r="D389" s="53"/>
      <c r="G389" s="52"/>
    </row>
    <row r="390" spans="1:7" s="50" customFormat="1" x14ac:dyDescent="0.3">
      <c r="A390" s="51"/>
      <c r="C390" s="52"/>
      <c r="D390" s="53"/>
      <c r="G390" s="52"/>
    </row>
    <row r="391" spans="1:7" s="50" customFormat="1" x14ac:dyDescent="0.3">
      <c r="A391" s="51"/>
      <c r="C391" s="52"/>
      <c r="D391" s="53"/>
      <c r="G391" s="52"/>
    </row>
    <row r="392" spans="1:7" s="50" customFormat="1" x14ac:dyDescent="0.3">
      <c r="A392" s="51"/>
      <c r="C392" s="52"/>
      <c r="D392" s="53"/>
      <c r="G392" s="52"/>
    </row>
    <row r="393" spans="1:7" s="50" customFormat="1" x14ac:dyDescent="0.3">
      <c r="A393" s="51"/>
      <c r="C393" s="52"/>
      <c r="D393" s="53"/>
      <c r="G393" s="52"/>
    </row>
    <row r="394" spans="1:7" s="50" customFormat="1" x14ac:dyDescent="0.3">
      <c r="A394" s="51"/>
      <c r="C394" s="52"/>
      <c r="D394" s="53"/>
      <c r="G394" s="52"/>
    </row>
    <row r="395" spans="1:7" s="50" customFormat="1" x14ac:dyDescent="0.3">
      <c r="A395" s="51"/>
      <c r="C395" s="52"/>
      <c r="D395" s="53"/>
      <c r="G395" s="52"/>
    </row>
    <row r="396" spans="1:7" s="50" customFormat="1" x14ac:dyDescent="0.3">
      <c r="A396" s="51"/>
      <c r="C396" s="52"/>
      <c r="D396" s="53"/>
      <c r="G396" s="52"/>
    </row>
    <row r="397" spans="1:7" s="50" customFormat="1" x14ac:dyDescent="0.3">
      <c r="A397" s="51"/>
      <c r="C397" s="52"/>
      <c r="D397" s="53"/>
      <c r="G397" s="52"/>
    </row>
    <row r="398" spans="1:7" s="50" customFormat="1" x14ac:dyDescent="0.3">
      <c r="A398" s="51"/>
      <c r="C398" s="52"/>
      <c r="D398" s="53"/>
      <c r="G398" s="52"/>
    </row>
    <row r="399" spans="1:7" s="50" customFormat="1" x14ac:dyDescent="0.3">
      <c r="A399" s="51"/>
      <c r="C399" s="52"/>
      <c r="D399" s="53"/>
      <c r="G399" s="52"/>
    </row>
    <row r="400" spans="1:7" s="50" customFormat="1" x14ac:dyDescent="0.3">
      <c r="A400" s="51"/>
      <c r="C400" s="52"/>
      <c r="D400" s="53"/>
      <c r="G400" s="52"/>
    </row>
    <row r="401" spans="1:7" s="50" customFormat="1" x14ac:dyDescent="0.3">
      <c r="A401" s="51"/>
      <c r="C401" s="52"/>
      <c r="D401" s="53"/>
      <c r="G401" s="52"/>
    </row>
    <row r="402" spans="1:7" s="50" customFormat="1" x14ac:dyDescent="0.3">
      <c r="A402" s="51"/>
      <c r="C402" s="52"/>
      <c r="D402" s="53"/>
      <c r="G402" s="52"/>
    </row>
    <row r="403" spans="1:7" s="50" customFormat="1" x14ac:dyDescent="0.3">
      <c r="A403" s="51"/>
      <c r="C403" s="52"/>
      <c r="D403" s="53"/>
      <c r="G403" s="52"/>
    </row>
    <row r="404" spans="1:7" s="50" customFormat="1" x14ac:dyDescent="0.3">
      <c r="A404" s="51"/>
      <c r="C404" s="52"/>
      <c r="D404" s="53"/>
      <c r="G404" s="52"/>
    </row>
    <row r="405" spans="1:7" s="50" customFormat="1" x14ac:dyDescent="0.3">
      <c r="A405" s="51"/>
      <c r="C405" s="52"/>
      <c r="D405" s="53"/>
      <c r="G405" s="52"/>
    </row>
    <row r="406" spans="1:7" s="50" customFormat="1" x14ac:dyDescent="0.3">
      <c r="A406" s="51"/>
      <c r="C406" s="52"/>
      <c r="D406" s="53"/>
      <c r="G406" s="52"/>
    </row>
    <row r="407" spans="1:7" s="50" customFormat="1" x14ac:dyDescent="0.3">
      <c r="A407" s="51"/>
      <c r="C407" s="52"/>
      <c r="D407" s="53"/>
      <c r="G407" s="52"/>
    </row>
    <row r="408" spans="1:7" s="50" customFormat="1" x14ac:dyDescent="0.3">
      <c r="A408" s="51"/>
      <c r="C408" s="52"/>
      <c r="D408" s="53"/>
      <c r="G408" s="52"/>
    </row>
    <row r="409" spans="1:7" s="50" customFormat="1" x14ac:dyDescent="0.3">
      <c r="A409" s="51"/>
      <c r="C409" s="52"/>
      <c r="D409" s="53"/>
      <c r="G409" s="52"/>
    </row>
    <row r="410" spans="1:7" s="50" customFormat="1" x14ac:dyDescent="0.3">
      <c r="A410" s="51"/>
      <c r="C410" s="52"/>
      <c r="D410" s="53"/>
      <c r="G410" s="52"/>
    </row>
    <row r="411" spans="1:7" s="50" customFormat="1" x14ac:dyDescent="0.3">
      <c r="A411" s="51"/>
      <c r="C411" s="52"/>
      <c r="D411" s="53"/>
      <c r="G411" s="52"/>
    </row>
    <row r="412" spans="1:7" s="50" customFormat="1" x14ac:dyDescent="0.3">
      <c r="A412" s="51"/>
      <c r="C412" s="52"/>
      <c r="D412" s="53"/>
      <c r="G412" s="52"/>
    </row>
    <row r="413" spans="1:7" s="50" customFormat="1" x14ac:dyDescent="0.3">
      <c r="A413" s="51"/>
      <c r="C413" s="52"/>
      <c r="D413" s="53"/>
      <c r="G413" s="52"/>
    </row>
    <row r="414" spans="1:7" s="50" customFormat="1" x14ac:dyDescent="0.3">
      <c r="A414" s="51"/>
      <c r="C414" s="52"/>
      <c r="D414" s="53"/>
      <c r="G414" s="52"/>
    </row>
    <row r="415" spans="1:7" s="50" customFormat="1" x14ac:dyDescent="0.3">
      <c r="A415" s="51"/>
      <c r="C415" s="52"/>
      <c r="D415" s="53"/>
      <c r="G415" s="52"/>
    </row>
    <row r="416" spans="1:7" s="50" customFormat="1" x14ac:dyDescent="0.3">
      <c r="A416" s="51"/>
      <c r="C416" s="52"/>
      <c r="D416" s="53"/>
      <c r="G416" s="52"/>
    </row>
    <row r="417" spans="1:7" s="50" customFormat="1" x14ac:dyDescent="0.3">
      <c r="A417" s="51"/>
      <c r="C417" s="52"/>
      <c r="D417" s="53"/>
      <c r="G417" s="52"/>
    </row>
    <row r="418" spans="1:7" s="50" customFormat="1" x14ac:dyDescent="0.3">
      <c r="A418" s="51"/>
      <c r="C418" s="52"/>
      <c r="D418" s="53"/>
      <c r="G418" s="52"/>
    </row>
    <row r="419" spans="1:7" s="50" customFormat="1" x14ac:dyDescent="0.3">
      <c r="A419" s="51"/>
      <c r="C419" s="52"/>
      <c r="D419" s="53"/>
      <c r="G419" s="52"/>
    </row>
    <row r="420" spans="1:7" s="50" customFormat="1" x14ac:dyDescent="0.3">
      <c r="A420" s="51"/>
      <c r="C420" s="52"/>
      <c r="D420" s="53"/>
      <c r="G420" s="52"/>
    </row>
    <row r="421" spans="1:7" s="50" customFormat="1" x14ac:dyDescent="0.3">
      <c r="A421" s="51"/>
      <c r="C421" s="52"/>
      <c r="D421" s="53"/>
      <c r="G421" s="52"/>
    </row>
    <row r="422" spans="1:7" s="50" customFormat="1" x14ac:dyDescent="0.3">
      <c r="A422" s="51"/>
      <c r="C422" s="52"/>
      <c r="D422" s="53"/>
      <c r="G422" s="52"/>
    </row>
    <row r="423" spans="1:7" s="50" customFormat="1" x14ac:dyDescent="0.3">
      <c r="A423" s="51"/>
      <c r="C423" s="52"/>
      <c r="D423" s="53"/>
      <c r="G423" s="52"/>
    </row>
    <row r="424" spans="1:7" s="50" customFormat="1" x14ac:dyDescent="0.3">
      <c r="A424" s="51"/>
      <c r="C424" s="52"/>
      <c r="D424" s="53"/>
      <c r="G424" s="52"/>
    </row>
    <row r="425" spans="1:7" s="50" customFormat="1" x14ac:dyDescent="0.3">
      <c r="A425" s="51"/>
      <c r="C425" s="52"/>
      <c r="D425" s="53"/>
      <c r="G425" s="52"/>
    </row>
    <row r="426" spans="1:7" s="50" customFormat="1" x14ac:dyDescent="0.3">
      <c r="A426" s="51"/>
      <c r="C426" s="52"/>
      <c r="D426" s="53"/>
      <c r="G426" s="52"/>
    </row>
    <row r="427" spans="1:7" s="50" customFormat="1" x14ac:dyDescent="0.3">
      <c r="A427" s="51"/>
      <c r="C427" s="52"/>
      <c r="D427" s="53"/>
      <c r="G427" s="52"/>
    </row>
    <row r="428" spans="1:7" s="50" customFormat="1" x14ac:dyDescent="0.3">
      <c r="A428" s="51"/>
      <c r="C428" s="52"/>
      <c r="D428" s="53"/>
      <c r="G428" s="52"/>
    </row>
    <row r="429" spans="1:7" s="50" customFormat="1" x14ac:dyDescent="0.3">
      <c r="A429" s="51"/>
      <c r="C429" s="52"/>
      <c r="D429" s="53"/>
      <c r="G429" s="52"/>
    </row>
    <row r="430" spans="1:7" s="50" customFormat="1" x14ac:dyDescent="0.3">
      <c r="A430" s="51"/>
      <c r="C430" s="52"/>
      <c r="D430" s="53"/>
      <c r="G430" s="52"/>
    </row>
    <row r="431" spans="1:7" s="50" customFormat="1" x14ac:dyDescent="0.3">
      <c r="A431" s="51"/>
      <c r="C431" s="52"/>
      <c r="D431" s="53"/>
      <c r="G431" s="52"/>
    </row>
    <row r="432" spans="1:7" s="50" customFormat="1" x14ac:dyDescent="0.3">
      <c r="A432" s="51"/>
      <c r="C432" s="52"/>
      <c r="D432" s="53"/>
      <c r="G432" s="52"/>
    </row>
    <row r="433" spans="1:7" s="50" customFormat="1" x14ac:dyDescent="0.3">
      <c r="A433" s="51"/>
      <c r="C433" s="52"/>
      <c r="D433" s="53"/>
      <c r="G433" s="52"/>
    </row>
    <row r="434" spans="1:7" s="50" customFormat="1" x14ac:dyDescent="0.3">
      <c r="A434" s="51"/>
      <c r="C434" s="52"/>
      <c r="D434" s="53"/>
      <c r="G434" s="52"/>
    </row>
    <row r="435" spans="1:7" s="50" customFormat="1" x14ac:dyDescent="0.3">
      <c r="A435" s="51"/>
      <c r="C435" s="52"/>
      <c r="D435" s="53"/>
      <c r="G435" s="52"/>
    </row>
    <row r="436" spans="1:7" s="50" customFormat="1" x14ac:dyDescent="0.3">
      <c r="A436" s="51"/>
      <c r="C436" s="52"/>
      <c r="D436" s="53"/>
      <c r="G436" s="52"/>
    </row>
    <row r="437" spans="1:7" s="50" customFormat="1" x14ac:dyDescent="0.3">
      <c r="A437" s="51"/>
      <c r="C437" s="52"/>
      <c r="D437" s="53"/>
      <c r="G437" s="52"/>
    </row>
    <row r="438" spans="1:7" s="50" customFormat="1" x14ac:dyDescent="0.3">
      <c r="A438" s="51"/>
      <c r="C438" s="52"/>
      <c r="D438" s="53"/>
      <c r="G438" s="52"/>
    </row>
    <row r="439" spans="1:7" s="50" customFormat="1" x14ac:dyDescent="0.3">
      <c r="A439" s="51"/>
      <c r="C439" s="52"/>
      <c r="D439" s="53"/>
      <c r="G439" s="52"/>
    </row>
    <row r="440" spans="1:7" s="50" customFormat="1" x14ac:dyDescent="0.3">
      <c r="A440" s="51"/>
      <c r="C440" s="52"/>
      <c r="D440" s="53"/>
      <c r="G440" s="52"/>
    </row>
    <row r="441" spans="1:7" s="50" customFormat="1" x14ac:dyDescent="0.3">
      <c r="A441" s="51"/>
      <c r="C441" s="52"/>
      <c r="D441" s="53"/>
      <c r="G441" s="52"/>
    </row>
    <row r="442" spans="1:7" s="50" customFormat="1" x14ac:dyDescent="0.3">
      <c r="A442" s="51"/>
      <c r="C442" s="52"/>
      <c r="D442" s="53"/>
      <c r="G442" s="52"/>
    </row>
    <row r="443" spans="1:7" s="50" customFormat="1" x14ac:dyDescent="0.3">
      <c r="A443" s="51"/>
      <c r="C443" s="52"/>
      <c r="D443" s="53"/>
      <c r="G443" s="52"/>
    </row>
    <row r="444" spans="1:7" s="50" customFormat="1" x14ac:dyDescent="0.3">
      <c r="A444" s="51"/>
      <c r="C444" s="52"/>
      <c r="D444" s="53"/>
      <c r="G444" s="52"/>
    </row>
    <row r="445" spans="1:7" s="50" customFormat="1" x14ac:dyDescent="0.3">
      <c r="A445" s="51"/>
      <c r="C445" s="52"/>
      <c r="D445" s="53"/>
      <c r="G445" s="52"/>
    </row>
    <row r="446" spans="1:7" s="50" customFormat="1" x14ac:dyDescent="0.3">
      <c r="A446" s="51"/>
      <c r="C446" s="52"/>
      <c r="D446" s="53"/>
      <c r="G446" s="52"/>
    </row>
    <row r="447" spans="1:7" s="50" customFormat="1" x14ac:dyDescent="0.3">
      <c r="A447" s="51"/>
      <c r="C447" s="52"/>
      <c r="D447" s="53"/>
      <c r="G447" s="52"/>
    </row>
    <row r="448" spans="1:7" s="50" customFormat="1" x14ac:dyDescent="0.3">
      <c r="A448" s="51"/>
      <c r="C448" s="52"/>
      <c r="D448" s="53"/>
      <c r="G448" s="52"/>
    </row>
    <row r="449" spans="1:7" s="50" customFormat="1" x14ac:dyDescent="0.3">
      <c r="A449" s="51"/>
      <c r="C449" s="52"/>
      <c r="D449" s="53"/>
      <c r="G449" s="52"/>
    </row>
    <row r="450" spans="1:7" s="50" customFormat="1" x14ac:dyDescent="0.3">
      <c r="A450" s="51"/>
      <c r="C450" s="52"/>
      <c r="D450" s="53"/>
      <c r="G450" s="52"/>
    </row>
    <row r="451" spans="1:7" s="50" customFormat="1" x14ac:dyDescent="0.3">
      <c r="A451" s="51"/>
      <c r="C451" s="52"/>
      <c r="D451" s="53"/>
      <c r="G451" s="52"/>
    </row>
    <row r="452" spans="1:7" s="50" customFormat="1" x14ac:dyDescent="0.3">
      <c r="A452" s="51"/>
      <c r="C452" s="52"/>
      <c r="D452" s="53"/>
      <c r="G452" s="52"/>
    </row>
    <row r="453" spans="1:7" s="50" customFormat="1" x14ac:dyDescent="0.3">
      <c r="A453" s="51"/>
      <c r="C453" s="52"/>
      <c r="D453" s="53"/>
      <c r="G453" s="52"/>
    </row>
    <row r="454" spans="1:7" s="50" customFormat="1" x14ac:dyDescent="0.3">
      <c r="A454" s="51"/>
      <c r="C454" s="52"/>
      <c r="D454" s="53"/>
      <c r="G454" s="52"/>
    </row>
    <row r="455" spans="1:7" s="50" customFormat="1" x14ac:dyDescent="0.3">
      <c r="A455" s="51"/>
      <c r="C455" s="52"/>
      <c r="D455" s="53"/>
      <c r="G455" s="52"/>
    </row>
    <row r="456" spans="1:7" s="50" customFormat="1" x14ac:dyDescent="0.3">
      <c r="A456" s="51"/>
      <c r="C456" s="52"/>
      <c r="D456" s="53"/>
      <c r="G456" s="52"/>
    </row>
    <row r="457" spans="1:7" s="50" customFormat="1" x14ac:dyDescent="0.3">
      <c r="A457" s="51"/>
      <c r="C457" s="52"/>
      <c r="D457" s="53"/>
      <c r="G457" s="52"/>
    </row>
    <row r="458" spans="1:7" s="50" customFormat="1" x14ac:dyDescent="0.3">
      <c r="A458" s="51"/>
      <c r="C458" s="52"/>
      <c r="D458" s="53"/>
      <c r="G458" s="52"/>
    </row>
    <row r="459" spans="1:7" s="50" customFormat="1" x14ac:dyDescent="0.3">
      <c r="A459" s="51"/>
      <c r="C459" s="52"/>
      <c r="D459" s="53"/>
      <c r="G459" s="52"/>
    </row>
    <row r="460" spans="1:7" s="50" customFormat="1" x14ac:dyDescent="0.3">
      <c r="A460" s="51"/>
      <c r="C460" s="52"/>
      <c r="D460" s="53"/>
      <c r="G460" s="52"/>
    </row>
    <row r="461" spans="1:7" s="50" customFormat="1" x14ac:dyDescent="0.3">
      <c r="A461" s="51"/>
      <c r="C461" s="52"/>
      <c r="D461" s="53"/>
      <c r="G461" s="52"/>
    </row>
    <row r="462" spans="1:7" s="50" customFormat="1" x14ac:dyDescent="0.3">
      <c r="A462" s="51"/>
      <c r="C462" s="52"/>
      <c r="D462" s="53"/>
      <c r="G462" s="52"/>
    </row>
    <row r="463" spans="1:7" s="50" customFormat="1" x14ac:dyDescent="0.3">
      <c r="A463" s="51"/>
      <c r="C463" s="52"/>
      <c r="D463" s="53"/>
      <c r="G463" s="52"/>
    </row>
    <row r="464" spans="1:7" s="50" customFormat="1" x14ac:dyDescent="0.3">
      <c r="A464" s="51"/>
      <c r="C464" s="52"/>
      <c r="D464" s="53"/>
      <c r="G464" s="52"/>
    </row>
    <row r="465" spans="1:7" s="50" customFormat="1" x14ac:dyDescent="0.3">
      <c r="A465" s="51"/>
      <c r="C465" s="52"/>
      <c r="D465" s="53"/>
      <c r="G465" s="52"/>
    </row>
    <row r="466" spans="1:7" s="50" customFormat="1" x14ac:dyDescent="0.3">
      <c r="A466" s="51"/>
      <c r="C466" s="52"/>
      <c r="D466" s="53"/>
      <c r="G466" s="52"/>
    </row>
    <row r="467" spans="1:7" s="50" customFormat="1" x14ac:dyDescent="0.3">
      <c r="A467" s="51"/>
      <c r="C467" s="52"/>
      <c r="D467" s="53"/>
      <c r="G467" s="52"/>
    </row>
    <row r="468" spans="1:7" s="50" customFormat="1" x14ac:dyDescent="0.3">
      <c r="A468" s="51"/>
      <c r="C468" s="52"/>
      <c r="D468" s="53"/>
      <c r="G468" s="52"/>
    </row>
    <row r="469" spans="1:7" s="50" customFormat="1" x14ac:dyDescent="0.3">
      <c r="A469" s="51"/>
      <c r="C469" s="52"/>
      <c r="D469" s="53"/>
      <c r="G469" s="52"/>
    </row>
    <row r="470" spans="1:7" s="50" customFormat="1" x14ac:dyDescent="0.3">
      <c r="A470" s="51"/>
      <c r="C470" s="52"/>
      <c r="D470" s="53"/>
      <c r="G470" s="52"/>
    </row>
    <row r="471" spans="1:7" s="50" customFormat="1" x14ac:dyDescent="0.3">
      <c r="A471" s="51"/>
      <c r="C471" s="52"/>
      <c r="D471" s="53"/>
      <c r="G471" s="52"/>
    </row>
    <row r="472" spans="1:7" s="50" customFormat="1" x14ac:dyDescent="0.3">
      <c r="A472" s="51"/>
      <c r="C472" s="52"/>
      <c r="D472" s="53"/>
      <c r="G472" s="52"/>
    </row>
    <row r="473" spans="1:7" s="50" customFormat="1" x14ac:dyDescent="0.3">
      <c r="A473" s="51"/>
      <c r="C473" s="52"/>
      <c r="D473" s="53"/>
      <c r="G473" s="52"/>
    </row>
    <row r="474" spans="1:7" s="50" customFormat="1" x14ac:dyDescent="0.3">
      <c r="A474" s="51"/>
      <c r="C474" s="52"/>
      <c r="D474" s="53"/>
      <c r="G474" s="52"/>
    </row>
    <row r="475" spans="1:7" s="50" customFormat="1" x14ac:dyDescent="0.3">
      <c r="A475" s="51"/>
      <c r="C475" s="52"/>
      <c r="D475" s="53"/>
      <c r="G475" s="52"/>
    </row>
    <row r="476" spans="1:7" s="50" customFormat="1" x14ac:dyDescent="0.3">
      <c r="A476" s="51"/>
      <c r="C476" s="52"/>
      <c r="D476" s="53"/>
      <c r="G476" s="52"/>
    </row>
    <row r="477" spans="1:7" s="50" customFormat="1" x14ac:dyDescent="0.3">
      <c r="A477" s="51"/>
      <c r="C477" s="52"/>
      <c r="D477" s="53"/>
      <c r="G477" s="52"/>
    </row>
    <row r="478" spans="1:7" s="50" customFormat="1" x14ac:dyDescent="0.3">
      <c r="A478" s="51"/>
      <c r="C478" s="52"/>
      <c r="D478" s="53"/>
      <c r="G478" s="52"/>
    </row>
    <row r="479" spans="1:7" s="50" customFormat="1" x14ac:dyDescent="0.3">
      <c r="A479" s="51"/>
      <c r="C479" s="52"/>
      <c r="D479" s="53"/>
      <c r="G479" s="52"/>
    </row>
    <row r="480" spans="1:7" s="50" customFormat="1" x14ac:dyDescent="0.3">
      <c r="A480" s="51"/>
      <c r="C480" s="52"/>
      <c r="D480" s="53"/>
      <c r="G480" s="52"/>
    </row>
    <row r="481" spans="1:7" s="50" customFormat="1" x14ac:dyDescent="0.3">
      <c r="A481" s="51"/>
      <c r="C481" s="52"/>
      <c r="D481" s="53"/>
      <c r="G481" s="52"/>
    </row>
    <row r="482" spans="1:7" s="50" customFormat="1" x14ac:dyDescent="0.3">
      <c r="A482" s="51"/>
      <c r="C482" s="52"/>
      <c r="D482" s="53"/>
      <c r="G482" s="52"/>
    </row>
    <row r="483" spans="1:7" s="50" customFormat="1" x14ac:dyDescent="0.3">
      <c r="A483" s="51"/>
      <c r="C483" s="52"/>
      <c r="D483" s="53"/>
      <c r="G483" s="52"/>
    </row>
    <row r="484" spans="1:7" s="50" customFormat="1" x14ac:dyDescent="0.3">
      <c r="A484" s="51"/>
      <c r="C484" s="52"/>
      <c r="D484" s="53"/>
      <c r="G484" s="52"/>
    </row>
    <row r="485" spans="1:7" s="50" customFormat="1" x14ac:dyDescent="0.3">
      <c r="A485" s="51"/>
      <c r="C485" s="52"/>
      <c r="D485" s="53"/>
      <c r="G485" s="52"/>
    </row>
    <row r="486" spans="1:7" s="50" customFormat="1" x14ac:dyDescent="0.3">
      <c r="A486" s="51"/>
      <c r="C486" s="52"/>
      <c r="D486" s="53"/>
      <c r="G486" s="52"/>
    </row>
    <row r="487" spans="1:7" s="50" customFormat="1" x14ac:dyDescent="0.3">
      <c r="A487" s="51"/>
      <c r="C487" s="52"/>
      <c r="D487" s="53"/>
      <c r="G487" s="52"/>
    </row>
    <row r="488" spans="1:7" s="50" customFormat="1" x14ac:dyDescent="0.3">
      <c r="A488" s="51"/>
      <c r="C488" s="52"/>
      <c r="D488" s="53"/>
      <c r="G488" s="52"/>
    </row>
    <row r="489" spans="1:7" s="50" customFormat="1" x14ac:dyDescent="0.3">
      <c r="A489" s="51"/>
      <c r="C489" s="52"/>
      <c r="D489" s="53"/>
      <c r="G489" s="52"/>
    </row>
    <row r="490" spans="1:7" s="50" customFormat="1" x14ac:dyDescent="0.3">
      <c r="A490" s="51"/>
      <c r="C490" s="52"/>
      <c r="D490" s="53"/>
      <c r="G490" s="52"/>
    </row>
    <row r="491" spans="1:7" s="50" customFormat="1" x14ac:dyDescent="0.3">
      <c r="A491" s="51"/>
      <c r="C491" s="52"/>
      <c r="D491" s="53"/>
      <c r="G491" s="52"/>
    </row>
    <row r="492" spans="1:7" s="50" customFormat="1" x14ac:dyDescent="0.3">
      <c r="A492" s="51"/>
      <c r="C492" s="52"/>
      <c r="D492" s="53"/>
      <c r="G492" s="52"/>
    </row>
    <row r="493" spans="1:7" s="50" customFormat="1" x14ac:dyDescent="0.3">
      <c r="A493" s="51"/>
      <c r="C493" s="52"/>
      <c r="D493" s="53"/>
      <c r="G493" s="52"/>
    </row>
    <row r="494" spans="1:7" s="50" customFormat="1" x14ac:dyDescent="0.3">
      <c r="A494" s="51"/>
      <c r="C494" s="52"/>
      <c r="D494" s="53"/>
      <c r="G494" s="52"/>
    </row>
    <row r="495" spans="1:7" s="50" customFormat="1" x14ac:dyDescent="0.3">
      <c r="A495" s="51"/>
      <c r="C495" s="52"/>
      <c r="D495" s="53"/>
      <c r="G495" s="52"/>
    </row>
    <row r="496" spans="1:7" s="50" customFormat="1" x14ac:dyDescent="0.3">
      <c r="A496" s="51"/>
      <c r="C496" s="52"/>
      <c r="D496" s="53"/>
      <c r="G496" s="52"/>
    </row>
    <row r="497" spans="1:7" s="50" customFormat="1" x14ac:dyDescent="0.3">
      <c r="A497" s="51"/>
      <c r="C497" s="52"/>
      <c r="D497" s="53"/>
      <c r="G497" s="52"/>
    </row>
    <row r="498" spans="1:7" s="50" customFormat="1" x14ac:dyDescent="0.3">
      <c r="A498" s="51"/>
      <c r="C498" s="52"/>
      <c r="D498" s="53"/>
      <c r="G498" s="52"/>
    </row>
    <row r="499" spans="1:7" s="50" customFormat="1" x14ac:dyDescent="0.3">
      <c r="A499" s="51"/>
      <c r="C499" s="52"/>
      <c r="D499" s="53"/>
      <c r="G499" s="52"/>
    </row>
    <row r="500" spans="1:7" s="50" customFormat="1" x14ac:dyDescent="0.3">
      <c r="A500" s="51"/>
      <c r="C500" s="52"/>
      <c r="D500" s="53"/>
      <c r="G500" s="52"/>
    </row>
    <row r="501" spans="1:7" s="50" customFormat="1" x14ac:dyDescent="0.3">
      <c r="A501" s="51"/>
      <c r="C501" s="52"/>
      <c r="D501" s="53"/>
      <c r="G501" s="52"/>
    </row>
    <row r="502" spans="1:7" s="50" customFormat="1" x14ac:dyDescent="0.3">
      <c r="A502" s="51"/>
      <c r="C502" s="52"/>
      <c r="D502" s="53"/>
      <c r="G502" s="52"/>
    </row>
    <row r="503" spans="1:7" s="50" customFormat="1" x14ac:dyDescent="0.3">
      <c r="A503" s="51"/>
      <c r="C503" s="52"/>
      <c r="D503" s="53"/>
      <c r="G503" s="52"/>
    </row>
    <row r="504" spans="1:7" s="50" customFormat="1" x14ac:dyDescent="0.3">
      <c r="A504" s="51"/>
      <c r="C504" s="52"/>
      <c r="D504" s="53"/>
      <c r="G504" s="52"/>
    </row>
    <row r="505" spans="1:7" s="50" customFormat="1" x14ac:dyDescent="0.3">
      <c r="A505" s="51"/>
      <c r="C505" s="52"/>
      <c r="D505" s="53"/>
      <c r="G505" s="52"/>
    </row>
    <row r="506" spans="1:7" s="50" customFormat="1" x14ac:dyDescent="0.3">
      <c r="A506" s="51"/>
      <c r="C506" s="52"/>
      <c r="D506" s="53"/>
      <c r="G506" s="52"/>
    </row>
    <row r="507" spans="1:7" s="50" customFormat="1" x14ac:dyDescent="0.3">
      <c r="A507" s="51"/>
      <c r="C507" s="52"/>
      <c r="D507" s="53"/>
      <c r="G507" s="52"/>
    </row>
    <row r="508" spans="1:7" s="50" customFormat="1" x14ac:dyDescent="0.3">
      <c r="A508" s="51"/>
      <c r="C508" s="52"/>
      <c r="D508" s="53"/>
      <c r="G508" s="52"/>
    </row>
    <row r="509" spans="1:7" s="50" customFormat="1" x14ac:dyDescent="0.3">
      <c r="A509" s="51"/>
      <c r="C509" s="52"/>
      <c r="D509" s="53"/>
      <c r="G509" s="52"/>
    </row>
    <row r="510" spans="1:7" s="50" customFormat="1" x14ac:dyDescent="0.3">
      <c r="A510" s="51"/>
      <c r="C510" s="52"/>
      <c r="D510" s="53"/>
      <c r="G510" s="52"/>
    </row>
    <row r="511" spans="1:7" s="50" customFormat="1" x14ac:dyDescent="0.3">
      <c r="A511" s="51"/>
      <c r="C511" s="52"/>
      <c r="D511" s="53"/>
      <c r="G511" s="52"/>
    </row>
    <row r="512" spans="1:7" s="50" customFormat="1" x14ac:dyDescent="0.3">
      <c r="A512" s="51"/>
      <c r="C512" s="52"/>
      <c r="D512" s="53"/>
      <c r="G512" s="52"/>
    </row>
    <row r="513" spans="1:7" s="50" customFormat="1" x14ac:dyDescent="0.3">
      <c r="A513" s="51"/>
      <c r="C513" s="52"/>
      <c r="D513" s="53"/>
      <c r="G513" s="52"/>
    </row>
    <row r="514" spans="1:7" s="50" customFormat="1" x14ac:dyDescent="0.3">
      <c r="A514" s="51"/>
      <c r="C514" s="52"/>
      <c r="D514" s="53"/>
      <c r="G514" s="52"/>
    </row>
    <row r="515" spans="1:7" s="50" customFormat="1" x14ac:dyDescent="0.3">
      <c r="A515" s="51"/>
      <c r="C515" s="52"/>
      <c r="D515" s="53"/>
      <c r="G515" s="52"/>
    </row>
    <row r="516" spans="1:7" s="50" customFormat="1" x14ac:dyDescent="0.3">
      <c r="A516" s="51"/>
      <c r="C516" s="52"/>
      <c r="D516" s="53"/>
      <c r="G516" s="52"/>
    </row>
    <row r="517" spans="1:7" s="50" customFormat="1" x14ac:dyDescent="0.3">
      <c r="A517" s="51"/>
      <c r="C517" s="52"/>
      <c r="D517" s="53"/>
      <c r="G517" s="52"/>
    </row>
    <row r="518" spans="1:7" s="50" customFormat="1" x14ac:dyDescent="0.3">
      <c r="A518" s="51"/>
      <c r="C518" s="52"/>
      <c r="D518" s="53"/>
      <c r="G518" s="52"/>
    </row>
    <row r="519" spans="1:7" s="50" customFormat="1" x14ac:dyDescent="0.3">
      <c r="A519" s="51"/>
      <c r="C519" s="52"/>
      <c r="D519" s="53"/>
      <c r="G519" s="52"/>
    </row>
    <row r="520" spans="1:7" s="50" customFormat="1" x14ac:dyDescent="0.3">
      <c r="A520" s="51"/>
      <c r="C520" s="52"/>
      <c r="D520" s="53"/>
      <c r="G520" s="52"/>
    </row>
    <row r="521" spans="1:7" s="50" customFormat="1" x14ac:dyDescent="0.3">
      <c r="A521" s="51"/>
      <c r="C521" s="52"/>
      <c r="D521" s="53"/>
      <c r="G521" s="52"/>
    </row>
    <row r="522" spans="1:7" s="50" customFormat="1" x14ac:dyDescent="0.3">
      <c r="A522" s="51"/>
      <c r="C522" s="52"/>
      <c r="D522" s="53"/>
      <c r="G522" s="52"/>
    </row>
    <row r="523" spans="1:7" s="50" customFormat="1" x14ac:dyDescent="0.3">
      <c r="A523" s="51"/>
      <c r="C523" s="52"/>
      <c r="D523" s="53"/>
      <c r="G523" s="52"/>
    </row>
    <row r="524" spans="1:7" s="50" customFormat="1" x14ac:dyDescent="0.3">
      <c r="A524" s="51"/>
      <c r="C524" s="52"/>
      <c r="D524" s="53"/>
      <c r="G524" s="52"/>
    </row>
    <row r="525" spans="1:7" s="50" customFormat="1" x14ac:dyDescent="0.3">
      <c r="A525" s="51"/>
      <c r="C525" s="52"/>
      <c r="D525" s="53"/>
      <c r="G525" s="52"/>
    </row>
    <row r="526" spans="1:7" s="50" customFormat="1" x14ac:dyDescent="0.3">
      <c r="A526" s="51"/>
      <c r="C526" s="52"/>
      <c r="D526" s="53"/>
      <c r="G526" s="52"/>
    </row>
    <row r="527" spans="1:7" s="50" customFormat="1" x14ac:dyDescent="0.3">
      <c r="A527" s="51"/>
      <c r="C527" s="52"/>
      <c r="D527" s="53"/>
      <c r="G527" s="52"/>
    </row>
    <row r="528" spans="1:7" s="50" customFormat="1" x14ac:dyDescent="0.3">
      <c r="A528" s="51"/>
      <c r="C528" s="52"/>
      <c r="D528" s="53"/>
      <c r="G528" s="52"/>
    </row>
    <row r="529" spans="1:7" s="50" customFormat="1" x14ac:dyDescent="0.3">
      <c r="A529" s="51"/>
      <c r="C529" s="52"/>
      <c r="D529" s="53"/>
      <c r="G529" s="52"/>
    </row>
    <row r="530" spans="1:7" s="50" customFormat="1" x14ac:dyDescent="0.3">
      <c r="A530" s="51"/>
      <c r="C530" s="52"/>
      <c r="D530" s="53"/>
      <c r="G530" s="52"/>
    </row>
    <row r="531" spans="1:7" s="50" customFormat="1" x14ac:dyDescent="0.3">
      <c r="A531" s="51"/>
      <c r="C531" s="52"/>
      <c r="D531" s="53"/>
      <c r="G531" s="52"/>
    </row>
    <row r="532" spans="1:7" s="50" customFormat="1" x14ac:dyDescent="0.3">
      <c r="A532" s="51"/>
      <c r="C532" s="52"/>
      <c r="D532" s="53"/>
      <c r="G532" s="52"/>
    </row>
    <row r="533" spans="1:7" s="50" customFormat="1" x14ac:dyDescent="0.3">
      <c r="A533" s="51"/>
      <c r="C533" s="52"/>
      <c r="D533" s="53"/>
      <c r="G533" s="52"/>
    </row>
    <row r="534" spans="1:7" s="50" customFormat="1" x14ac:dyDescent="0.3">
      <c r="A534" s="51"/>
      <c r="C534" s="52"/>
      <c r="D534" s="53"/>
      <c r="G534" s="52"/>
    </row>
    <row r="535" spans="1:7" s="50" customFormat="1" x14ac:dyDescent="0.3">
      <c r="A535" s="51"/>
      <c r="C535" s="52"/>
      <c r="D535" s="53"/>
      <c r="G535" s="52"/>
    </row>
    <row r="536" spans="1:7" s="50" customFormat="1" x14ac:dyDescent="0.3">
      <c r="A536" s="51"/>
      <c r="C536" s="52"/>
      <c r="D536" s="53"/>
      <c r="G536" s="52"/>
    </row>
    <row r="537" spans="1:7" s="50" customFormat="1" x14ac:dyDescent="0.3">
      <c r="A537" s="51"/>
      <c r="C537" s="52"/>
      <c r="D537" s="53"/>
      <c r="G537" s="52"/>
    </row>
    <row r="538" spans="1:7" s="50" customFormat="1" x14ac:dyDescent="0.3">
      <c r="A538" s="51"/>
      <c r="C538" s="52"/>
      <c r="D538" s="53"/>
      <c r="G538" s="52"/>
    </row>
    <row r="539" spans="1:7" s="50" customFormat="1" x14ac:dyDescent="0.3">
      <c r="A539" s="51"/>
      <c r="C539" s="52"/>
      <c r="D539" s="53"/>
      <c r="G539" s="52"/>
    </row>
    <row r="540" spans="1:7" s="50" customFormat="1" x14ac:dyDescent="0.3">
      <c r="A540" s="51"/>
      <c r="C540" s="52"/>
      <c r="D540" s="53"/>
      <c r="G540" s="52"/>
    </row>
    <row r="541" spans="1:7" s="50" customFormat="1" x14ac:dyDescent="0.3">
      <c r="A541" s="51"/>
      <c r="C541" s="52"/>
      <c r="D541" s="53"/>
      <c r="G541" s="52"/>
    </row>
    <row r="542" spans="1:7" s="50" customFormat="1" x14ac:dyDescent="0.3">
      <c r="A542" s="51"/>
      <c r="C542" s="52"/>
      <c r="D542" s="53"/>
      <c r="G542" s="52"/>
    </row>
    <row r="543" spans="1:7" s="50" customFormat="1" x14ac:dyDescent="0.3">
      <c r="A543" s="51"/>
      <c r="C543" s="52"/>
      <c r="D543" s="53"/>
      <c r="G543" s="52"/>
    </row>
    <row r="544" spans="1:7" s="50" customFormat="1" x14ac:dyDescent="0.3">
      <c r="A544" s="51"/>
      <c r="C544" s="52"/>
      <c r="D544" s="53"/>
      <c r="G544" s="52"/>
    </row>
    <row r="545" spans="1:7" s="50" customFormat="1" x14ac:dyDescent="0.3">
      <c r="A545" s="51"/>
      <c r="C545" s="52"/>
      <c r="D545" s="53"/>
      <c r="G545" s="52"/>
    </row>
    <row r="546" spans="1:7" s="50" customFormat="1" x14ac:dyDescent="0.3">
      <c r="A546" s="51"/>
      <c r="C546" s="52"/>
      <c r="D546" s="53"/>
      <c r="G546" s="52"/>
    </row>
    <row r="547" spans="1:7" s="50" customFormat="1" x14ac:dyDescent="0.3">
      <c r="A547" s="51"/>
      <c r="C547" s="52"/>
      <c r="D547" s="53"/>
      <c r="G547" s="52"/>
    </row>
    <row r="548" spans="1:7" s="50" customFormat="1" x14ac:dyDescent="0.3">
      <c r="A548" s="51"/>
      <c r="C548" s="52"/>
      <c r="D548" s="53"/>
      <c r="G548" s="52"/>
    </row>
    <row r="549" spans="1:7" s="50" customFormat="1" x14ac:dyDescent="0.3">
      <c r="A549" s="51"/>
      <c r="C549" s="52"/>
      <c r="D549" s="53"/>
      <c r="G549" s="52"/>
    </row>
    <row r="550" spans="1:7" s="50" customFormat="1" x14ac:dyDescent="0.3">
      <c r="A550" s="51"/>
      <c r="C550" s="52"/>
      <c r="D550" s="53"/>
      <c r="G550" s="52"/>
    </row>
    <row r="551" spans="1:7" s="50" customFormat="1" x14ac:dyDescent="0.3">
      <c r="A551" s="51"/>
      <c r="C551" s="52"/>
      <c r="D551" s="53"/>
      <c r="G551" s="52"/>
    </row>
    <row r="552" spans="1:7" s="50" customFormat="1" x14ac:dyDescent="0.3">
      <c r="A552" s="51"/>
      <c r="C552" s="52"/>
      <c r="D552" s="53"/>
      <c r="G552" s="52"/>
    </row>
    <row r="553" spans="1:7" s="50" customFormat="1" x14ac:dyDescent="0.3">
      <c r="A553" s="51"/>
      <c r="C553" s="52"/>
      <c r="D553" s="53"/>
      <c r="G553" s="52"/>
    </row>
    <row r="554" spans="1:7" s="50" customFormat="1" x14ac:dyDescent="0.3">
      <c r="A554" s="51"/>
      <c r="C554" s="52"/>
      <c r="D554" s="53"/>
      <c r="G554" s="52"/>
    </row>
    <row r="555" spans="1:7" s="50" customFormat="1" x14ac:dyDescent="0.3">
      <c r="A555" s="51"/>
      <c r="C555" s="52"/>
      <c r="D555" s="53"/>
      <c r="G555" s="52"/>
    </row>
    <row r="556" spans="1:7" s="50" customFormat="1" x14ac:dyDescent="0.3">
      <c r="A556" s="51"/>
      <c r="C556" s="52"/>
      <c r="D556" s="53"/>
      <c r="G556" s="52"/>
    </row>
    <row r="557" spans="1:7" s="50" customFormat="1" x14ac:dyDescent="0.3">
      <c r="A557" s="51"/>
      <c r="C557" s="52"/>
      <c r="D557" s="53"/>
      <c r="G557" s="52"/>
    </row>
    <row r="558" spans="1:7" s="50" customFormat="1" x14ac:dyDescent="0.3">
      <c r="A558" s="51"/>
      <c r="C558" s="52"/>
      <c r="D558" s="53"/>
      <c r="G558" s="52"/>
    </row>
    <row r="559" spans="1:7" s="50" customFormat="1" x14ac:dyDescent="0.3">
      <c r="A559" s="51"/>
      <c r="C559" s="52"/>
      <c r="D559" s="53"/>
      <c r="G559" s="52"/>
    </row>
    <row r="560" spans="1:7" s="50" customFormat="1" x14ac:dyDescent="0.3">
      <c r="A560" s="51"/>
      <c r="C560" s="52"/>
      <c r="D560" s="53"/>
      <c r="G560" s="52"/>
    </row>
    <row r="561" spans="1:7" s="50" customFormat="1" x14ac:dyDescent="0.3">
      <c r="A561" s="51"/>
      <c r="C561" s="52"/>
      <c r="D561" s="53"/>
      <c r="G561" s="52"/>
    </row>
    <row r="562" spans="1:7" s="50" customFormat="1" x14ac:dyDescent="0.3">
      <c r="A562" s="51"/>
      <c r="C562" s="52"/>
      <c r="D562" s="53"/>
      <c r="G562" s="52"/>
    </row>
    <row r="563" spans="1:7" s="50" customFormat="1" x14ac:dyDescent="0.3">
      <c r="A563" s="51"/>
      <c r="C563" s="52"/>
      <c r="D563" s="53"/>
      <c r="G563" s="52"/>
    </row>
    <row r="564" spans="1:7" s="50" customFormat="1" x14ac:dyDescent="0.3">
      <c r="A564" s="51"/>
      <c r="C564" s="52"/>
      <c r="D564" s="53"/>
      <c r="G564" s="52"/>
    </row>
    <row r="565" spans="1:7" s="50" customFormat="1" x14ac:dyDescent="0.3">
      <c r="A565" s="51"/>
      <c r="C565" s="52"/>
      <c r="D565" s="53"/>
      <c r="G565" s="52"/>
    </row>
    <row r="566" spans="1:7" s="50" customFormat="1" x14ac:dyDescent="0.3">
      <c r="A566" s="51"/>
      <c r="C566" s="52"/>
      <c r="D566" s="53"/>
      <c r="G566" s="52"/>
    </row>
    <row r="567" spans="1:7" s="50" customFormat="1" x14ac:dyDescent="0.3">
      <c r="A567" s="51"/>
      <c r="C567" s="52"/>
      <c r="D567" s="53"/>
      <c r="G567" s="52"/>
    </row>
    <row r="568" spans="1:7" s="50" customFormat="1" x14ac:dyDescent="0.3">
      <c r="A568" s="51"/>
      <c r="C568" s="52"/>
      <c r="D568" s="53"/>
      <c r="G568" s="52"/>
    </row>
    <row r="569" spans="1:7" s="50" customFormat="1" x14ac:dyDescent="0.3">
      <c r="A569" s="51"/>
      <c r="C569" s="52"/>
      <c r="D569" s="53"/>
      <c r="G569" s="52"/>
    </row>
    <row r="570" spans="1:7" s="50" customFormat="1" x14ac:dyDescent="0.3">
      <c r="A570" s="51"/>
      <c r="C570" s="52"/>
      <c r="D570" s="53"/>
      <c r="G570" s="52"/>
    </row>
    <row r="571" spans="1:7" s="50" customFormat="1" x14ac:dyDescent="0.3">
      <c r="A571" s="51"/>
      <c r="C571" s="52"/>
      <c r="D571" s="53"/>
      <c r="G571" s="52"/>
    </row>
    <row r="572" spans="1:7" s="50" customFormat="1" x14ac:dyDescent="0.3">
      <c r="A572" s="51"/>
      <c r="C572" s="52"/>
      <c r="D572" s="53"/>
      <c r="G572" s="52"/>
    </row>
    <row r="573" spans="1:7" s="50" customFormat="1" x14ac:dyDescent="0.3">
      <c r="A573" s="51"/>
      <c r="C573" s="52"/>
      <c r="D573" s="53"/>
      <c r="G573" s="52"/>
    </row>
    <row r="574" spans="1:7" s="50" customFormat="1" x14ac:dyDescent="0.3">
      <c r="A574" s="51"/>
      <c r="C574" s="52"/>
      <c r="D574" s="53"/>
      <c r="G574" s="52"/>
    </row>
    <row r="575" spans="1:7" s="50" customFormat="1" x14ac:dyDescent="0.3">
      <c r="A575" s="51"/>
      <c r="C575" s="52"/>
      <c r="D575" s="53"/>
      <c r="G575" s="52"/>
    </row>
    <row r="576" spans="1:7" s="50" customFormat="1" x14ac:dyDescent="0.3">
      <c r="A576" s="51"/>
      <c r="C576" s="52"/>
      <c r="D576" s="53"/>
      <c r="G576" s="52"/>
    </row>
    <row r="577" spans="1:7" s="50" customFormat="1" x14ac:dyDescent="0.3">
      <c r="A577" s="51"/>
      <c r="C577" s="52"/>
      <c r="D577" s="53"/>
      <c r="G577" s="52"/>
    </row>
    <row r="578" spans="1:7" s="50" customFormat="1" x14ac:dyDescent="0.3">
      <c r="A578" s="51"/>
      <c r="C578" s="52"/>
      <c r="D578" s="53"/>
      <c r="G578" s="52"/>
    </row>
    <row r="579" spans="1:7" s="50" customFormat="1" x14ac:dyDescent="0.3">
      <c r="A579" s="51"/>
      <c r="C579" s="52"/>
      <c r="D579" s="53"/>
      <c r="G579" s="52"/>
    </row>
    <row r="580" spans="1:7" s="50" customFormat="1" x14ac:dyDescent="0.3">
      <c r="A580" s="51"/>
      <c r="C580" s="52"/>
      <c r="D580" s="53"/>
      <c r="G580" s="52"/>
    </row>
    <row r="581" spans="1:7" s="50" customFormat="1" x14ac:dyDescent="0.3">
      <c r="A581" s="51"/>
      <c r="C581" s="52"/>
      <c r="D581" s="53"/>
      <c r="G581" s="52"/>
    </row>
  </sheetData>
  <sheetProtection selectLockedCells="1" selectUnlockedCells="1"/>
  <mergeCells count="5">
    <mergeCell ref="B5:D5"/>
    <mergeCell ref="F5:G5"/>
    <mergeCell ref="B1:J1"/>
    <mergeCell ref="B3:C3"/>
    <mergeCell ref="I2:J2"/>
  </mergeCells>
  <pageMargins left="0.70866141732283472" right="0.70866141732283472" top="0.74803149606299213" bottom="0.74803149606299213" header="0.31496062992125984" footer="0.31496062992125984"/>
  <pageSetup paperSize="9" scale="10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L58"/>
  <sheetViews>
    <sheetView zoomScaleNormal="90" workbookViewId="0">
      <selection activeCell="E8" sqref="E8"/>
    </sheetView>
  </sheetViews>
  <sheetFormatPr baseColWidth="10" defaultRowHeight="15" x14ac:dyDescent="0.25"/>
  <cols>
    <col min="1" max="1" width="2.7109375" style="96" customWidth="1"/>
    <col min="2" max="2" width="26.5703125" style="96" bestFit="1" customWidth="1"/>
    <col min="3" max="3" width="12.7109375" style="96" customWidth="1"/>
    <col min="4" max="4" width="10.7109375" style="97" customWidth="1"/>
    <col min="5" max="5" width="11.140625" style="98" bestFit="1" customWidth="1"/>
    <col min="6" max="6" width="2.7109375" style="96" customWidth="1"/>
    <col min="7" max="7" width="45.140625" style="96" bestFit="1" customWidth="1"/>
    <col min="8" max="8" width="13.140625" style="97" bestFit="1" customWidth="1"/>
    <col min="9" max="9" width="14.7109375" style="97" bestFit="1" customWidth="1"/>
    <col min="10" max="10" width="10.28515625" style="97" customWidth="1"/>
    <col min="11" max="11" width="9.7109375" style="97" bestFit="1" customWidth="1"/>
    <col min="12" max="12" width="10.5703125" style="96" bestFit="1" customWidth="1"/>
    <col min="13" max="13" width="7.85546875" style="1" bestFit="1" customWidth="1"/>
    <col min="14" max="14" width="7.5703125" style="1" bestFit="1" customWidth="1"/>
    <col min="15" max="15" width="3.85546875" style="1" bestFit="1" customWidth="1"/>
    <col min="16" max="17" width="7.5703125" style="1" bestFit="1" customWidth="1"/>
    <col min="18" max="18" width="3.85546875" style="1" bestFit="1" customWidth="1"/>
    <col min="19" max="16384" width="11.42578125" style="1"/>
  </cols>
  <sheetData>
    <row r="1" spans="2:12" ht="15.75" thickBot="1" x14ac:dyDescent="0.3"/>
    <row r="2" spans="2:12" ht="15.75" thickTop="1" x14ac:dyDescent="0.25">
      <c r="B2" s="99" t="s">
        <v>166</v>
      </c>
      <c r="C2" s="100"/>
      <c r="D2" s="101"/>
      <c r="E2" s="102">
        <f>captura!D3</f>
        <v>0</v>
      </c>
      <c r="G2" s="99"/>
      <c r="H2" s="103"/>
      <c r="I2" s="232" t="s">
        <v>64</v>
      </c>
      <c r="J2" s="233"/>
    </row>
    <row r="3" spans="2:12" x14ac:dyDescent="0.25">
      <c r="B3" s="104" t="s">
        <v>167</v>
      </c>
      <c r="C3" s="105"/>
      <c r="D3" s="106"/>
      <c r="E3" s="107">
        <f>+declaracion!U57</f>
        <v>0</v>
      </c>
      <c r="G3" s="104"/>
      <c r="H3" s="108"/>
      <c r="I3" s="106"/>
      <c r="J3" s="108"/>
    </row>
    <row r="4" spans="2:12" x14ac:dyDescent="0.25">
      <c r="B4" s="104" t="s">
        <v>146</v>
      </c>
      <c r="C4" s="105"/>
      <c r="D4" s="106"/>
      <c r="E4" s="107">
        <f>+declaracion!U74</f>
        <v>0</v>
      </c>
      <c r="G4" s="104"/>
      <c r="H4" s="108"/>
      <c r="I4" s="106"/>
      <c r="J4" s="108"/>
    </row>
    <row r="5" spans="2:12" x14ac:dyDescent="0.25">
      <c r="B5" s="104"/>
      <c r="C5" s="105"/>
      <c r="D5" s="106"/>
      <c r="E5" s="107"/>
      <c r="G5" s="104"/>
      <c r="H5" s="108"/>
      <c r="I5" s="106"/>
      <c r="J5" s="108"/>
    </row>
    <row r="6" spans="2:12" ht="15.75" thickBot="1" x14ac:dyDescent="0.3">
      <c r="B6" s="104" t="s">
        <v>167</v>
      </c>
      <c r="C6" s="105"/>
      <c r="D6" s="106"/>
      <c r="E6" s="107">
        <f>E18-E30</f>
        <v>0</v>
      </c>
      <c r="G6" s="234" t="s">
        <v>65</v>
      </c>
      <c r="H6" s="235"/>
      <c r="I6" s="106" t="s">
        <v>62</v>
      </c>
      <c r="J6" s="108" t="s">
        <v>63</v>
      </c>
    </row>
    <row r="7" spans="2:12" ht="20.25" thickTop="1" thickBot="1" x14ac:dyDescent="0.35">
      <c r="B7" s="104" t="s">
        <v>138</v>
      </c>
      <c r="C7" s="105"/>
      <c r="D7" s="106"/>
      <c r="E7" s="107">
        <f>E6-E2</f>
        <v>0</v>
      </c>
      <c r="G7" s="109" t="s">
        <v>43</v>
      </c>
      <c r="H7" s="106"/>
      <c r="I7" s="110" t="s">
        <v>80</v>
      </c>
      <c r="J7" s="110" t="s">
        <v>81</v>
      </c>
    </row>
    <row r="8" spans="2:12" ht="20.25" thickTop="1" thickBot="1" x14ac:dyDescent="0.35">
      <c r="B8" s="104" t="s">
        <v>168</v>
      </c>
      <c r="C8" s="105"/>
      <c r="D8" s="106"/>
      <c r="E8" s="185">
        <f>E6*25%</f>
        <v>0</v>
      </c>
      <c r="G8" s="109" t="s">
        <v>44</v>
      </c>
      <c r="H8" s="106"/>
      <c r="I8" s="110" t="s">
        <v>34</v>
      </c>
      <c r="J8" s="110" t="s">
        <v>37</v>
      </c>
    </row>
    <row r="9" spans="2:12" ht="20.25" thickTop="1" thickBot="1" x14ac:dyDescent="0.35">
      <c r="B9" s="104" t="s">
        <v>61</v>
      </c>
      <c r="C9" s="105"/>
      <c r="D9" s="106"/>
      <c r="E9" s="107" t="e">
        <f>E7/D19</f>
        <v>#DIV/0!</v>
      </c>
      <c r="G9" s="109" t="s">
        <v>45</v>
      </c>
      <c r="H9" s="106"/>
      <c r="I9" s="110" t="s">
        <v>35</v>
      </c>
      <c r="J9" s="110" t="s">
        <v>38</v>
      </c>
    </row>
    <row r="10" spans="2:12" ht="20.25" thickTop="1" thickBot="1" x14ac:dyDescent="0.35">
      <c r="B10" s="104" t="s">
        <v>147</v>
      </c>
      <c r="C10" s="105"/>
      <c r="D10" s="106"/>
      <c r="E10" s="107" t="e">
        <f>+E4/E3</f>
        <v>#DIV/0!</v>
      </c>
      <c r="G10" s="109"/>
      <c r="H10" s="106"/>
      <c r="I10" s="110"/>
      <c r="J10" s="110"/>
    </row>
    <row r="11" spans="2:12" ht="20.25" thickTop="1" thickBot="1" x14ac:dyDescent="0.35">
      <c r="B11" s="111" t="s">
        <v>98</v>
      </c>
      <c r="C11" s="112"/>
      <c r="D11" s="112"/>
      <c r="E11" s="113">
        <f>200*D19</f>
        <v>0</v>
      </c>
      <c r="G11" s="114" t="s">
        <v>46</v>
      </c>
      <c r="H11" s="115"/>
      <c r="I11" s="110" t="s">
        <v>36</v>
      </c>
      <c r="J11" s="110" t="s">
        <v>39</v>
      </c>
    </row>
    <row r="12" spans="2:12" ht="32.25" thickTop="1" x14ac:dyDescent="0.5">
      <c r="B12" s="236" t="s">
        <v>0</v>
      </c>
      <c r="C12" s="236"/>
      <c r="D12" s="236"/>
      <c r="E12" s="236"/>
      <c r="F12" s="116"/>
      <c r="G12" s="236" t="s">
        <v>1</v>
      </c>
      <c r="H12" s="236"/>
      <c r="I12" s="236"/>
      <c r="J12" s="236"/>
      <c r="K12" s="236"/>
    </row>
    <row r="13" spans="2:12" ht="31.5" x14ac:dyDescent="0.5">
      <c r="B13" s="116"/>
      <c r="C13" s="116"/>
      <c r="D13" s="116"/>
      <c r="E13" s="116"/>
      <c r="F13" s="116"/>
      <c r="G13" s="117"/>
      <c r="H13" s="118" t="s">
        <v>55</v>
      </c>
      <c r="I13" s="118" t="s">
        <v>56</v>
      </c>
      <c r="J13" s="118" t="s">
        <v>58</v>
      </c>
      <c r="K13" s="118" t="s">
        <v>76</v>
      </c>
      <c r="L13" s="118" t="s">
        <v>60</v>
      </c>
    </row>
    <row r="14" spans="2:12" x14ac:dyDescent="0.25">
      <c r="F14" s="97"/>
      <c r="G14" s="97"/>
      <c r="H14" s="119">
        <f>SUM(H16:H57)</f>
        <v>135</v>
      </c>
      <c r="I14" s="119" t="s">
        <v>57</v>
      </c>
      <c r="J14" s="119" t="s">
        <v>59</v>
      </c>
      <c r="K14" s="119" t="s">
        <v>42</v>
      </c>
      <c r="L14" s="119">
        <f>SUM(L16:L57)</f>
        <v>117</v>
      </c>
    </row>
    <row r="15" spans="2:12" x14ac:dyDescent="0.25">
      <c r="B15" s="120" t="str">
        <f>captura!B6</f>
        <v>INGRESO MENSUAL NETO</v>
      </c>
      <c r="C15" s="120"/>
      <c r="D15" s="120">
        <f>captura!C6</f>
        <v>0</v>
      </c>
      <c r="E15" s="121">
        <f>captura!D6</f>
        <v>0</v>
      </c>
      <c r="G15" s="131"/>
      <c r="H15" s="189"/>
      <c r="I15" s="189"/>
      <c r="J15" s="189"/>
      <c r="K15" s="189"/>
      <c r="L15" s="189"/>
    </row>
    <row r="16" spans="2:12" x14ac:dyDescent="0.25">
      <c r="B16" s="120">
        <f>captura!B7</f>
        <v>0</v>
      </c>
      <c r="C16" s="120"/>
      <c r="D16" s="120">
        <f>captura!C7</f>
        <v>0</v>
      </c>
      <c r="E16" s="121">
        <f>captura!D7</f>
        <v>0</v>
      </c>
      <c r="G16" s="186" t="str">
        <f>captura!F9</f>
        <v>HOMBRE</v>
      </c>
      <c r="H16" s="187"/>
      <c r="I16" s="187">
        <v>2</v>
      </c>
      <c r="J16" s="188">
        <v>10</v>
      </c>
      <c r="K16" s="106">
        <f>captura!G9</f>
        <v>0</v>
      </c>
      <c r="L16" s="188">
        <f>K16*J16</f>
        <v>0</v>
      </c>
    </row>
    <row r="17" spans="2:12" ht="15.75" thickBot="1" x14ac:dyDescent="0.3">
      <c r="B17" s="120">
        <f>captura!B8</f>
        <v>0</v>
      </c>
      <c r="C17" s="120"/>
      <c r="D17" s="120">
        <f>captura!C8</f>
        <v>0</v>
      </c>
      <c r="E17" s="121">
        <f>captura!D8</f>
        <v>0</v>
      </c>
      <c r="G17" s="125" t="str">
        <f>captura!F10</f>
        <v>MUJER</v>
      </c>
      <c r="H17" s="126">
        <v>15</v>
      </c>
      <c r="I17" s="126">
        <v>1</v>
      </c>
      <c r="J17" s="127">
        <v>15</v>
      </c>
      <c r="K17" s="128">
        <f>captura!G10</f>
        <v>1</v>
      </c>
      <c r="L17" s="127">
        <f t="shared" ref="L17:L57" si="0">K17*J17</f>
        <v>15</v>
      </c>
    </row>
    <row r="18" spans="2:12" ht="16.5" thickTop="1" thickBot="1" x14ac:dyDescent="0.3">
      <c r="C18" s="105"/>
      <c r="D18" s="105" t="str">
        <f>captura!C9</f>
        <v>Total</v>
      </c>
      <c r="E18" s="129">
        <f>captura!D9</f>
        <v>0</v>
      </c>
      <c r="G18" s="229" t="s">
        <v>150</v>
      </c>
      <c r="H18" s="230"/>
      <c r="I18" s="230"/>
      <c r="J18" s="230"/>
      <c r="K18" s="230"/>
      <c r="L18" s="231"/>
    </row>
    <row r="19" spans="2:12" ht="15.75" thickTop="1" x14ac:dyDescent="0.25">
      <c r="B19" s="120" t="str">
        <f>captura!B11</f>
        <v>TITULAR MAS DEPENDIENTES</v>
      </c>
      <c r="C19" s="120">
        <v>75</v>
      </c>
      <c r="D19" s="120">
        <f>captura!C11</f>
        <v>0</v>
      </c>
      <c r="E19" s="121">
        <f>D19*C19</f>
        <v>0</v>
      </c>
      <c r="G19" s="122" t="str">
        <f>captura!F11</f>
        <v>SOLTERO</v>
      </c>
      <c r="H19" s="123"/>
      <c r="I19" s="123">
        <v>3</v>
      </c>
      <c r="J19" s="124">
        <v>3</v>
      </c>
      <c r="K19" s="101">
        <f>captura!G11</f>
        <v>1</v>
      </c>
      <c r="L19" s="124">
        <f t="shared" si="0"/>
        <v>3</v>
      </c>
    </row>
    <row r="20" spans="2:12" x14ac:dyDescent="0.25">
      <c r="B20" s="120" t="str">
        <f>captura!B12</f>
        <v>1.- CREDITO HIPOTECARIO</v>
      </c>
      <c r="C20" s="120"/>
      <c r="D20" s="120">
        <f>captura!C12</f>
        <v>0</v>
      </c>
      <c r="E20" s="121">
        <f>captura!D12</f>
        <v>0</v>
      </c>
      <c r="G20" s="130" t="str">
        <f>captura!F12</f>
        <v>CASADO</v>
      </c>
      <c r="H20" s="131"/>
      <c r="I20" s="131">
        <v>1</v>
      </c>
      <c r="J20" s="132">
        <v>5</v>
      </c>
      <c r="K20" s="133">
        <f>captura!G12</f>
        <v>0</v>
      </c>
      <c r="L20" s="132">
        <f t="shared" si="0"/>
        <v>0</v>
      </c>
    </row>
    <row r="21" spans="2:12" x14ac:dyDescent="0.25">
      <c r="B21" s="120" t="str">
        <f>captura!B13</f>
        <v>2.- CREDITO AUTOMOTRIZ</v>
      </c>
      <c r="C21" s="120"/>
      <c r="D21" s="120">
        <f>captura!C13</f>
        <v>0</v>
      </c>
      <c r="E21" s="121">
        <f>captura!D13</f>
        <v>0</v>
      </c>
      <c r="G21" s="130" t="str">
        <f>captura!F13</f>
        <v>VIUDO</v>
      </c>
      <c r="H21" s="131"/>
      <c r="I21" s="131">
        <v>2</v>
      </c>
      <c r="J21" s="132">
        <v>4</v>
      </c>
      <c r="K21" s="133">
        <f>captura!G13</f>
        <v>0</v>
      </c>
      <c r="L21" s="132">
        <f t="shared" si="0"/>
        <v>0</v>
      </c>
    </row>
    <row r="22" spans="2:12" ht="15.75" thickBot="1" x14ac:dyDescent="0.3">
      <c r="B22" s="120" t="str">
        <f>captura!B14</f>
        <v>3.- CREDITOS PERSONALES</v>
      </c>
      <c r="C22" s="120"/>
      <c r="D22" s="120">
        <f>captura!C14</f>
        <v>0</v>
      </c>
      <c r="E22" s="121">
        <f>captura!D14</f>
        <v>0</v>
      </c>
      <c r="G22" s="125" t="str">
        <f>captura!F14</f>
        <v>DIVORCIADO</v>
      </c>
      <c r="H22" s="126">
        <v>5</v>
      </c>
      <c r="I22" s="126">
        <v>4</v>
      </c>
      <c r="J22" s="127">
        <v>1</v>
      </c>
      <c r="K22" s="128">
        <f>captura!G14</f>
        <v>0</v>
      </c>
      <c r="L22" s="127">
        <f t="shared" si="0"/>
        <v>0</v>
      </c>
    </row>
    <row r="23" spans="2:12" ht="16.5" thickTop="1" thickBot="1" x14ac:dyDescent="0.3">
      <c r="B23" s="120" t="str">
        <f>captura!B15</f>
        <v>4.- TARJETAS DE CREDITO</v>
      </c>
      <c r="C23" s="120"/>
      <c r="D23" s="120">
        <f>captura!C15</f>
        <v>0</v>
      </c>
      <c r="E23" s="121">
        <f>captura!D15</f>
        <v>0</v>
      </c>
      <c r="G23" s="229" t="s">
        <v>151</v>
      </c>
      <c r="H23" s="230"/>
      <c r="I23" s="230"/>
      <c r="J23" s="230"/>
      <c r="K23" s="230"/>
      <c r="L23" s="231"/>
    </row>
    <row r="24" spans="2:12" ht="15.75" thickTop="1" x14ac:dyDescent="0.25">
      <c r="B24" s="120" t="str">
        <f>captura!B16</f>
        <v>5.- TELECOMUNICACIONES</v>
      </c>
      <c r="C24" s="120"/>
      <c r="D24" s="120">
        <f>captura!C16</f>
        <v>0</v>
      </c>
      <c r="E24" s="121">
        <f>captura!D16</f>
        <v>0</v>
      </c>
      <c r="G24" s="122" t="str">
        <f>captura!F15</f>
        <v>CASA</v>
      </c>
      <c r="H24" s="123"/>
      <c r="I24" s="123">
        <v>1</v>
      </c>
      <c r="J24" s="124">
        <v>10</v>
      </c>
      <c r="K24" s="101">
        <f>captura!G15</f>
        <v>1</v>
      </c>
      <c r="L24" s="124">
        <f t="shared" si="0"/>
        <v>10</v>
      </c>
    </row>
    <row r="25" spans="2:12" ht="15.75" thickBot="1" x14ac:dyDescent="0.3">
      <c r="B25" s="120" t="e">
        <f>captura!B17</f>
        <v>#REF!</v>
      </c>
      <c r="C25" s="120"/>
      <c r="D25" s="120">
        <f>captura!C17</f>
        <v>0</v>
      </c>
      <c r="E25" s="121">
        <f>captura!D17</f>
        <v>0</v>
      </c>
      <c r="G25" s="125" t="str">
        <f>captura!F16</f>
        <v>UNIDAD  HABITACIONAL/ ASENTAMIENTO RURAL</v>
      </c>
      <c r="H25" s="126">
        <v>10</v>
      </c>
      <c r="I25" s="126">
        <v>2</v>
      </c>
      <c r="J25" s="127">
        <v>-5</v>
      </c>
      <c r="K25" s="128">
        <f>captura!G16</f>
        <v>0</v>
      </c>
      <c r="L25" s="127">
        <f t="shared" si="0"/>
        <v>0</v>
      </c>
    </row>
    <row r="26" spans="2:12" ht="15.75" thickTop="1" x14ac:dyDescent="0.25">
      <c r="B26" s="120" t="str">
        <f>captura!B18</f>
        <v>7.- OTROS</v>
      </c>
      <c r="C26" s="120"/>
      <c r="D26" s="120">
        <f>captura!C18</f>
        <v>0</v>
      </c>
      <c r="E26" s="121">
        <f>captura!D18</f>
        <v>0</v>
      </c>
      <c r="G26" s="122" t="str">
        <f>captura!F17</f>
        <v>CON SERVICIOS</v>
      </c>
      <c r="H26" s="123"/>
      <c r="I26" s="123">
        <v>1</v>
      </c>
      <c r="J26" s="124">
        <v>5</v>
      </c>
      <c r="K26" s="101">
        <f>captura!G17</f>
        <v>1</v>
      </c>
      <c r="L26" s="124">
        <f t="shared" si="0"/>
        <v>5</v>
      </c>
    </row>
    <row r="27" spans="2:12" ht="15.75" thickBot="1" x14ac:dyDescent="0.3">
      <c r="B27" s="120">
        <f>captura!B19</f>
        <v>0</v>
      </c>
      <c r="C27" s="120"/>
      <c r="D27" s="120">
        <f>captura!C19</f>
        <v>0</v>
      </c>
      <c r="E27" s="121">
        <f>captura!D19</f>
        <v>0</v>
      </c>
      <c r="G27" s="125" t="str">
        <f>captura!F18</f>
        <v>SIN SERVICIOS</v>
      </c>
      <c r="H27" s="126">
        <v>5</v>
      </c>
      <c r="I27" s="126">
        <v>2</v>
      </c>
      <c r="J27" s="127">
        <v>1</v>
      </c>
      <c r="K27" s="128">
        <f>captura!G18</f>
        <v>0</v>
      </c>
      <c r="L27" s="127">
        <f t="shared" si="0"/>
        <v>0</v>
      </c>
    </row>
    <row r="28" spans="2:12" ht="15.75" thickTop="1" x14ac:dyDescent="0.25">
      <c r="B28" s="120">
        <f>captura!B20</f>
        <v>0</v>
      </c>
      <c r="C28" s="120"/>
      <c r="D28" s="120">
        <f>captura!C20</f>
        <v>0</v>
      </c>
      <c r="E28" s="121">
        <f>captura!D20</f>
        <v>0</v>
      </c>
      <c r="G28" s="122" t="str">
        <f>captura!F19</f>
        <v>PROPIETARIO</v>
      </c>
      <c r="H28" s="123"/>
      <c r="I28" s="123">
        <v>1</v>
      </c>
      <c r="J28" s="124">
        <v>10</v>
      </c>
      <c r="K28" s="101">
        <f>captura!G19</f>
        <v>1</v>
      </c>
      <c r="L28" s="124">
        <f t="shared" si="0"/>
        <v>10</v>
      </c>
    </row>
    <row r="29" spans="2:12" x14ac:dyDescent="0.25">
      <c r="B29" s="120">
        <f>captura!B21</f>
        <v>0</v>
      </c>
      <c r="C29" s="120"/>
      <c r="D29" s="120">
        <f>captura!C21</f>
        <v>0</v>
      </c>
      <c r="E29" s="121">
        <f>captura!D21</f>
        <v>0</v>
      </c>
      <c r="G29" s="130" t="str">
        <f>captura!F20</f>
        <v>PAGANDOLO (INFONAVIT-FONAPO-FOVISTE ETC)</v>
      </c>
      <c r="H29" s="131"/>
      <c r="I29" s="131">
        <v>2</v>
      </c>
      <c r="J29" s="132">
        <v>5</v>
      </c>
      <c r="K29" s="133">
        <f>captura!G20</f>
        <v>0</v>
      </c>
      <c r="L29" s="132">
        <f t="shared" si="0"/>
        <v>0</v>
      </c>
    </row>
    <row r="30" spans="2:12" x14ac:dyDescent="0.25">
      <c r="D30" s="97" t="s">
        <v>33</v>
      </c>
      <c r="E30" s="134">
        <f>SUM(E19:E29)</f>
        <v>0</v>
      </c>
      <c r="G30" s="130" t="str">
        <f>captura!F21</f>
        <v>RENTADO</v>
      </c>
      <c r="H30" s="131"/>
      <c r="I30" s="131">
        <v>4</v>
      </c>
      <c r="J30" s="132">
        <v>-7</v>
      </c>
      <c r="K30" s="133">
        <f>captura!G21</f>
        <v>0</v>
      </c>
      <c r="L30" s="132">
        <f t="shared" si="0"/>
        <v>0</v>
      </c>
    </row>
    <row r="31" spans="2:12" ht="15.75" thickBot="1" x14ac:dyDescent="0.3">
      <c r="G31" s="125" t="str">
        <f>captura!F22</f>
        <v>VIVE CON FAMILIARES</v>
      </c>
      <c r="H31" s="126">
        <v>10</v>
      </c>
      <c r="I31" s="126">
        <v>3</v>
      </c>
      <c r="J31" s="127">
        <v>-5</v>
      </c>
      <c r="K31" s="128">
        <f>captura!G22</f>
        <v>0</v>
      </c>
      <c r="L31" s="127">
        <f t="shared" si="0"/>
        <v>0</v>
      </c>
    </row>
    <row r="32" spans="2:12" ht="15.75" thickTop="1" x14ac:dyDescent="0.25">
      <c r="G32" s="122" t="str">
        <f>captura!F23</f>
        <v>ARRAIGO EN DOMICILIO -1 AÑO</v>
      </c>
      <c r="H32" s="123"/>
      <c r="I32" s="123">
        <v>3</v>
      </c>
      <c r="J32" s="124">
        <v>-5</v>
      </c>
      <c r="K32" s="101">
        <f>captura!G23</f>
        <v>0</v>
      </c>
      <c r="L32" s="124">
        <f t="shared" si="0"/>
        <v>0</v>
      </c>
    </row>
    <row r="33" spans="7:12" x14ac:dyDescent="0.25">
      <c r="G33" s="130" t="str">
        <f>captura!F24</f>
        <v>ARRAIGO DOMICILIO 1 A 3 AÑOS</v>
      </c>
      <c r="H33" s="131"/>
      <c r="I33" s="131">
        <v>2</v>
      </c>
      <c r="J33" s="132">
        <v>5</v>
      </c>
      <c r="K33" s="133">
        <f>captura!G24</f>
        <v>0</v>
      </c>
      <c r="L33" s="132">
        <f t="shared" si="0"/>
        <v>0</v>
      </c>
    </row>
    <row r="34" spans="7:12" ht="15.75" thickBot="1" x14ac:dyDescent="0.3">
      <c r="G34" s="125" t="str">
        <f>captura!F25</f>
        <v>ARRAIGO DOMICILIO 4 AÑOS O MAS</v>
      </c>
      <c r="H34" s="126">
        <v>10</v>
      </c>
      <c r="I34" s="126">
        <v>1</v>
      </c>
      <c r="J34" s="127">
        <v>10</v>
      </c>
      <c r="K34" s="128">
        <f>captura!G25</f>
        <v>1</v>
      </c>
      <c r="L34" s="127">
        <f t="shared" si="0"/>
        <v>10</v>
      </c>
    </row>
    <row r="35" spans="7:12" ht="15.75" thickTop="1" x14ac:dyDescent="0.25">
      <c r="G35" s="122" t="s">
        <v>77</v>
      </c>
      <c r="H35" s="123">
        <v>10</v>
      </c>
      <c r="I35" s="123">
        <v>3</v>
      </c>
      <c r="J35" s="124">
        <v>1</v>
      </c>
      <c r="K35" s="101">
        <f>captura!G6</f>
        <v>1</v>
      </c>
      <c r="L35" s="124">
        <f t="shared" si="0"/>
        <v>1</v>
      </c>
    </row>
    <row r="36" spans="7:12" x14ac:dyDescent="0.25">
      <c r="G36" s="130" t="s">
        <v>152</v>
      </c>
      <c r="H36" s="131"/>
      <c r="I36" s="131">
        <v>2</v>
      </c>
      <c r="J36" s="132">
        <v>5</v>
      </c>
      <c r="K36" s="133">
        <f>captura!G7</f>
        <v>0</v>
      </c>
      <c r="L36" s="132">
        <f t="shared" si="0"/>
        <v>0</v>
      </c>
    </row>
    <row r="37" spans="7:12" ht="15.75" thickBot="1" x14ac:dyDescent="0.3">
      <c r="G37" s="125" t="s">
        <v>153</v>
      </c>
      <c r="H37" s="126"/>
      <c r="I37" s="126">
        <v>1</v>
      </c>
      <c r="J37" s="127">
        <v>10</v>
      </c>
      <c r="K37" s="128">
        <f>captura!G8</f>
        <v>0</v>
      </c>
      <c r="L37" s="127">
        <f t="shared" si="0"/>
        <v>0</v>
      </c>
    </row>
    <row r="38" spans="7:12" ht="15.75" thickTop="1" x14ac:dyDescent="0.25">
      <c r="G38" s="122" t="str">
        <f>captura!F26</f>
        <v>18 A 24 AÑOS EDAD</v>
      </c>
      <c r="H38" s="123"/>
      <c r="I38" s="123">
        <v>4</v>
      </c>
      <c r="J38" s="124">
        <v>-5</v>
      </c>
      <c r="K38" s="101">
        <f>captura!G26</f>
        <v>0</v>
      </c>
      <c r="L38" s="124">
        <f t="shared" si="0"/>
        <v>0</v>
      </c>
    </row>
    <row r="39" spans="7:12" x14ac:dyDescent="0.25">
      <c r="G39" s="130" t="str">
        <f>captura!F27</f>
        <v>25 A 34 AÑOS EDAD</v>
      </c>
      <c r="H39" s="131"/>
      <c r="I39" s="131">
        <v>1</v>
      </c>
      <c r="J39" s="132">
        <v>15</v>
      </c>
      <c r="K39" s="133">
        <f>captura!G27</f>
        <v>1</v>
      </c>
      <c r="L39" s="132">
        <f t="shared" si="0"/>
        <v>15</v>
      </c>
    </row>
    <row r="40" spans="7:12" x14ac:dyDescent="0.25">
      <c r="G40" s="130" t="str">
        <f>captura!F28</f>
        <v>35 A 45 AÑOS DE EDAD</v>
      </c>
      <c r="H40" s="131"/>
      <c r="I40" s="131">
        <v>2</v>
      </c>
      <c r="J40" s="132">
        <v>10</v>
      </c>
      <c r="K40" s="133">
        <f>captura!G28</f>
        <v>0</v>
      </c>
      <c r="L40" s="132">
        <f t="shared" si="0"/>
        <v>0</v>
      </c>
    </row>
    <row r="41" spans="7:12" ht="15.75" thickBot="1" x14ac:dyDescent="0.3">
      <c r="G41" s="125" t="str">
        <f>captura!F29</f>
        <v>46 A 65 AÑOS EDAD</v>
      </c>
      <c r="H41" s="126">
        <v>15</v>
      </c>
      <c r="I41" s="126">
        <v>3</v>
      </c>
      <c r="J41" s="127">
        <v>5</v>
      </c>
      <c r="K41" s="128">
        <f>captura!G29</f>
        <v>0</v>
      </c>
      <c r="L41" s="127">
        <f t="shared" si="0"/>
        <v>0</v>
      </c>
    </row>
    <row r="42" spans="7:12" ht="16.5" thickTop="1" thickBot="1" x14ac:dyDescent="0.3">
      <c r="G42" s="229" t="s">
        <v>154</v>
      </c>
      <c r="H42" s="230"/>
      <c r="I42" s="230"/>
      <c r="J42" s="230"/>
      <c r="K42" s="230"/>
      <c r="L42" s="231"/>
    </row>
    <row r="43" spans="7:12" ht="15.75" thickTop="1" x14ac:dyDescent="0.25">
      <c r="G43" s="122" t="str">
        <f>captura!F30</f>
        <v>EXPERIENCIA EN B.C.</v>
      </c>
      <c r="H43" s="123"/>
      <c r="I43" s="123">
        <v>1</v>
      </c>
      <c r="J43" s="124">
        <v>15</v>
      </c>
      <c r="K43" s="101">
        <f>captura!G30</f>
        <v>1</v>
      </c>
      <c r="L43" s="124">
        <f t="shared" si="0"/>
        <v>15</v>
      </c>
    </row>
    <row r="44" spans="7:12" ht="15.75" thickBot="1" x14ac:dyDescent="0.3">
      <c r="G44" s="125" t="str">
        <f>captura!F31</f>
        <v>SIN EXPERIENCIA EN B.C.</v>
      </c>
      <c r="H44" s="126">
        <v>15</v>
      </c>
      <c r="I44" s="126">
        <v>2</v>
      </c>
      <c r="J44" s="127">
        <v>5</v>
      </c>
      <c r="K44" s="128">
        <f>captura!G31</f>
        <v>0</v>
      </c>
      <c r="L44" s="127">
        <f t="shared" si="0"/>
        <v>0</v>
      </c>
    </row>
    <row r="45" spans="7:12" ht="15.75" thickTop="1" x14ac:dyDescent="0.25">
      <c r="G45" s="122" t="str">
        <f>captura!F32</f>
        <v>SIN ATRASO ACTUAL</v>
      </c>
      <c r="H45" s="123"/>
      <c r="I45" s="123">
        <v>1</v>
      </c>
      <c r="J45" s="124">
        <v>15</v>
      </c>
      <c r="K45" s="101">
        <f>captura!G32</f>
        <v>1</v>
      </c>
      <c r="L45" s="124">
        <f t="shared" si="0"/>
        <v>15</v>
      </c>
    </row>
    <row r="46" spans="7:12" x14ac:dyDescent="0.25">
      <c r="G46" s="130" t="str">
        <f>captura!F33</f>
        <v>SIN HISTORIAL</v>
      </c>
      <c r="H46" s="131"/>
      <c r="I46" s="131">
        <v>2</v>
      </c>
      <c r="J46" s="132">
        <v>5</v>
      </c>
      <c r="K46" s="133">
        <f>captura!G33</f>
        <v>0</v>
      </c>
      <c r="L46" s="132">
        <f t="shared" si="0"/>
        <v>0</v>
      </c>
    </row>
    <row r="47" spans="7:12" ht="15.75" thickBot="1" x14ac:dyDescent="0.3">
      <c r="G47" s="125" t="str">
        <f>captura!F34</f>
        <v>CON ATRASO ACTUAL</v>
      </c>
      <c r="H47" s="126">
        <v>15</v>
      </c>
      <c r="I47" s="126">
        <v>3</v>
      </c>
      <c r="J47" s="127">
        <v>-15</v>
      </c>
      <c r="K47" s="128">
        <f>captura!G34</f>
        <v>0</v>
      </c>
      <c r="L47" s="127">
        <f t="shared" si="0"/>
        <v>0</v>
      </c>
    </row>
    <row r="48" spans="7:12" ht="16.5" thickTop="1" thickBot="1" x14ac:dyDescent="0.3">
      <c r="G48" s="229" t="s">
        <v>156</v>
      </c>
      <c r="H48" s="230"/>
      <c r="I48" s="230"/>
      <c r="J48" s="230"/>
      <c r="K48" s="230"/>
      <c r="L48" s="231"/>
    </row>
    <row r="49" spans="7:12" ht="15.75" thickTop="1" x14ac:dyDescent="0.25">
      <c r="G49" s="122" t="str">
        <f>captura!F35</f>
        <v>AUTOEMPLEADO</v>
      </c>
      <c r="H49" s="123"/>
      <c r="I49" s="123">
        <v>2</v>
      </c>
      <c r="J49" s="124">
        <v>1</v>
      </c>
      <c r="K49" s="101">
        <f>captura!G35</f>
        <v>0</v>
      </c>
      <c r="L49" s="124">
        <f t="shared" si="0"/>
        <v>0</v>
      </c>
    </row>
    <row r="50" spans="7:12" ht="15.75" thickBot="1" x14ac:dyDescent="0.3">
      <c r="G50" s="125" t="str">
        <f>captura!F36</f>
        <v>ASALARIADO</v>
      </c>
      <c r="H50" s="126">
        <v>3</v>
      </c>
      <c r="I50" s="126">
        <v>1</v>
      </c>
      <c r="J50" s="127">
        <v>3</v>
      </c>
      <c r="K50" s="128">
        <f>captura!G36</f>
        <v>1</v>
      </c>
      <c r="L50" s="127">
        <f t="shared" si="0"/>
        <v>3</v>
      </c>
    </row>
    <row r="51" spans="7:12" ht="15.75" thickTop="1" x14ac:dyDescent="0.25">
      <c r="G51" s="122" t="str">
        <f>captura!F37</f>
        <v>EMPLEO MINIMO 6 MESES</v>
      </c>
      <c r="H51" s="123"/>
      <c r="I51" s="123">
        <v>3</v>
      </c>
      <c r="J51" s="124">
        <v>5</v>
      </c>
      <c r="K51" s="101">
        <f>captura!G37</f>
        <v>1</v>
      </c>
      <c r="L51" s="124">
        <f t="shared" si="0"/>
        <v>5</v>
      </c>
    </row>
    <row r="52" spans="7:12" x14ac:dyDescent="0.25">
      <c r="G52" s="130" t="str">
        <f>captura!F38</f>
        <v>EMPLEO 1 A 3 AÑOS</v>
      </c>
      <c r="H52" s="131"/>
      <c r="I52" s="131">
        <v>2</v>
      </c>
      <c r="J52" s="132">
        <v>8</v>
      </c>
      <c r="K52" s="133">
        <f>captura!G38</f>
        <v>0</v>
      </c>
      <c r="L52" s="132">
        <f t="shared" si="0"/>
        <v>0</v>
      </c>
    </row>
    <row r="53" spans="7:12" ht="15.75" thickBot="1" x14ac:dyDescent="0.3">
      <c r="G53" s="125" t="str">
        <f>captura!F39</f>
        <v>EMPLEO 4 O MAS</v>
      </c>
      <c r="H53" s="126">
        <v>12</v>
      </c>
      <c r="I53" s="126">
        <v>1</v>
      </c>
      <c r="J53" s="127">
        <v>12</v>
      </c>
      <c r="K53" s="128">
        <f>captura!G39</f>
        <v>0</v>
      </c>
      <c r="L53" s="127">
        <f t="shared" si="0"/>
        <v>0</v>
      </c>
    </row>
    <row r="54" spans="7:12" ht="16.5" thickTop="1" thickBot="1" x14ac:dyDescent="0.3">
      <c r="G54" s="229" t="s">
        <v>158</v>
      </c>
      <c r="H54" s="230"/>
      <c r="I54" s="230"/>
      <c r="J54" s="230"/>
      <c r="K54" s="230"/>
      <c r="L54" s="231"/>
    </row>
    <row r="55" spans="7:12" ht="15.75" thickTop="1" x14ac:dyDescent="0.25">
      <c r="G55" s="122" t="str">
        <f>captura!F40</f>
        <v>DEPENDIENTES 1 A 2</v>
      </c>
      <c r="H55" s="123"/>
      <c r="I55" s="123">
        <v>1</v>
      </c>
      <c r="J55" s="124">
        <v>10</v>
      </c>
      <c r="K55" s="101">
        <f>captura!G40</f>
        <v>1</v>
      </c>
      <c r="L55" s="124">
        <f t="shared" si="0"/>
        <v>10</v>
      </c>
    </row>
    <row r="56" spans="7:12" x14ac:dyDescent="0.25">
      <c r="G56" s="130" t="str">
        <f>captura!F41</f>
        <v xml:space="preserve">DEPENDIENTES 3 A 5 </v>
      </c>
      <c r="H56" s="131"/>
      <c r="I56" s="131">
        <v>2</v>
      </c>
      <c r="J56" s="132">
        <v>5</v>
      </c>
      <c r="K56" s="133">
        <f>captura!G41</f>
        <v>0</v>
      </c>
      <c r="L56" s="132">
        <f t="shared" si="0"/>
        <v>0</v>
      </c>
    </row>
    <row r="57" spans="7:12" ht="15.75" thickBot="1" x14ac:dyDescent="0.3">
      <c r="G57" s="125" t="str">
        <f>captura!F42</f>
        <v>MAS DE 5 DEPENDIENTES</v>
      </c>
      <c r="H57" s="126">
        <v>10</v>
      </c>
      <c r="I57" s="126">
        <v>3</v>
      </c>
      <c r="J57" s="127">
        <v>-5</v>
      </c>
      <c r="K57" s="128">
        <f>captura!G42</f>
        <v>0</v>
      </c>
      <c r="L57" s="127">
        <f t="shared" si="0"/>
        <v>0</v>
      </c>
    </row>
    <row r="58" spans="7:12" ht="15.75" thickTop="1" x14ac:dyDescent="0.25"/>
  </sheetData>
  <sheetProtection selectLockedCells="1" selectUnlockedCells="1"/>
  <mergeCells count="9">
    <mergeCell ref="G48:L48"/>
    <mergeCell ref="G54:L54"/>
    <mergeCell ref="I2:J2"/>
    <mergeCell ref="G6:H6"/>
    <mergeCell ref="B12:E12"/>
    <mergeCell ref="G12:K12"/>
    <mergeCell ref="G18:L18"/>
    <mergeCell ref="G23:L23"/>
    <mergeCell ref="G42:L42"/>
  </mergeCell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>
    <pageSetUpPr fitToPage="1"/>
  </sheetPr>
  <dimension ref="A1:N48"/>
  <sheetViews>
    <sheetView showGridLines="0" showRowColHeaders="0" showRuler="0" zoomScale="75" zoomScaleNormal="75" workbookViewId="0">
      <selection activeCell="E22" sqref="E22"/>
    </sheetView>
  </sheetViews>
  <sheetFormatPr baseColWidth="10" defaultRowHeight="15" x14ac:dyDescent="0.25"/>
  <cols>
    <col min="1" max="1" width="8.7109375" style="2" customWidth="1"/>
    <col min="2" max="2" width="10.7109375" style="2" customWidth="1"/>
    <col min="3" max="3" width="12.7109375" style="2" customWidth="1"/>
    <col min="4" max="4" width="20.7109375" style="15" customWidth="1"/>
    <col min="5" max="5" width="17.7109375" style="15" customWidth="1"/>
    <col min="6" max="6" width="1.7109375" style="15" customWidth="1"/>
    <col min="7" max="7" width="50.7109375" style="16" customWidth="1"/>
    <col min="8" max="8" width="30.7109375" style="16" customWidth="1"/>
    <col min="9" max="9" width="11.42578125" style="2" bestFit="1" customWidth="1"/>
    <col min="10" max="10" width="12.5703125" style="15" bestFit="1" customWidth="1"/>
    <col min="11" max="11" width="2.7109375" style="2" customWidth="1"/>
    <col min="12" max="14" width="10.7109375" style="2" hidden="1" customWidth="1"/>
    <col min="15" max="17" width="10.7109375" style="2" customWidth="1"/>
    <col min="18" max="16384" width="11.42578125" style="2"/>
  </cols>
  <sheetData>
    <row r="1" spans="2:14" ht="34.5" thickBot="1" x14ac:dyDescent="0.55000000000000004">
      <c r="C1" s="86"/>
      <c r="D1" s="240" t="s">
        <v>83</v>
      </c>
      <c r="E1" s="240"/>
      <c r="F1" s="240"/>
      <c r="G1" s="240"/>
      <c r="H1" s="240"/>
      <c r="I1" s="240"/>
      <c r="J1" s="240"/>
      <c r="K1" s="240"/>
    </row>
    <row r="2" spans="2:14" ht="19.5" thickTop="1" x14ac:dyDescent="0.3">
      <c r="D2" s="82" t="s">
        <v>41</v>
      </c>
      <c r="E2" s="262" t="str">
        <f>captura!G3</f>
        <v>0000</v>
      </c>
      <c r="F2" s="263"/>
      <c r="G2" s="263"/>
      <c r="H2" s="263"/>
      <c r="I2" s="264"/>
      <c r="J2" s="2"/>
      <c r="L2" s="261"/>
      <c r="M2" s="261"/>
    </row>
    <row r="3" spans="2:14" ht="19.5" thickBot="1" x14ac:dyDescent="0.35">
      <c r="D3" s="83" t="s">
        <v>42</v>
      </c>
      <c r="E3" s="265">
        <f>captura!F3</f>
        <v>0</v>
      </c>
      <c r="F3" s="265"/>
      <c r="G3" s="265"/>
      <c r="H3" s="265"/>
      <c r="I3" s="266"/>
      <c r="J3" s="2"/>
    </row>
    <row r="4" spans="2:14" ht="20.25" thickTop="1" thickBot="1" x14ac:dyDescent="0.35">
      <c r="D4" s="63"/>
      <c r="E4" s="64"/>
      <c r="F4" s="64"/>
      <c r="G4" s="64"/>
      <c r="H4" s="64"/>
      <c r="I4" s="64"/>
      <c r="J4" s="2"/>
    </row>
    <row r="5" spans="2:14" ht="20.100000000000001" customHeight="1" thickTop="1" thickBot="1" x14ac:dyDescent="0.55000000000000004">
      <c r="C5" s="241" t="s">
        <v>84</v>
      </c>
      <c r="D5" s="242"/>
      <c r="E5" s="243"/>
      <c r="F5" s="64"/>
      <c r="G5" s="65"/>
      <c r="H5" s="66"/>
      <c r="I5" s="267" t="s">
        <v>64</v>
      </c>
      <c r="J5" s="268"/>
    </row>
    <row r="6" spans="2:14" ht="27.75" thickTop="1" thickBot="1" x14ac:dyDescent="0.45">
      <c r="C6" s="84" t="str">
        <f>IF(captura!G6=1,"NUEVO", " ")</f>
        <v>NUEVO</v>
      </c>
      <c r="D6" s="84" t="str">
        <f>IF(captura!G7=1,"1RENOVACION", " ")</f>
        <v xml:space="preserve"> </v>
      </c>
      <c r="E6" s="85" t="str">
        <f>IF(captura!G8=1,"2 O MAS RENOV.", " ")</f>
        <v xml:space="preserve"> </v>
      </c>
      <c r="F6" s="2"/>
      <c r="G6" s="269" t="s">
        <v>65</v>
      </c>
      <c r="H6" s="270"/>
      <c r="I6" s="76" t="s">
        <v>62</v>
      </c>
      <c r="J6" s="77" t="s">
        <v>63</v>
      </c>
    </row>
    <row r="7" spans="2:14" ht="18.95" customHeight="1" thickTop="1" thickBot="1" x14ac:dyDescent="0.4">
      <c r="B7" s="3"/>
      <c r="F7" s="6"/>
      <c r="G7" s="253" t="s">
        <v>90</v>
      </c>
      <c r="H7" s="254"/>
      <c r="I7" s="19" t="s">
        <v>80</v>
      </c>
      <c r="J7" s="19" t="s">
        <v>81</v>
      </c>
    </row>
    <row r="8" spans="2:14" ht="18.95" customHeight="1" thickTop="1" thickBot="1" x14ac:dyDescent="0.4">
      <c r="B8" s="7"/>
      <c r="C8" s="74" t="s">
        <v>22</v>
      </c>
      <c r="D8" s="78" t="str">
        <f>IF(captura!G10=1,"MUJER", " ")</f>
        <v>MUJER</v>
      </c>
      <c r="E8" s="79" t="str">
        <f>IF(captura!G9=1,"HOMBRE", " ")</f>
        <v xml:space="preserve"> </v>
      </c>
      <c r="F8" s="8"/>
      <c r="G8" s="255" t="s">
        <v>91</v>
      </c>
      <c r="H8" s="256"/>
      <c r="I8" s="20" t="s">
        <v>34</v>
      </c>
      <c r="J8" s="20" t="s">
        <v>37</v>
      </c>
    </row>
    <row r="9" spans="2:14" ht="18.95" customHeight="1" thickTop="1" thickBot="1" x14ac:dyDescent="0.4">
      <c r="B9" s="7"/>
      <c r="C9" s="75"/>
      <c r="D9" s="80">
        <f>IF(captura!G10=1,'caja negra'!L14," ")</f>
        <v>117</v>
      </c>
      <c r="E9" s="81" t="str">
        <f>IF(captura!G9=1,'caja negra'!L14," ")</f>
        <v xml:space="preserve"> </v>
      </c>
      <c r="F9" s="9"/>
      <c r="G9" s="255" t="s">
        <v>92</v>
      </c>
      <c r="H9" s="256"/>
      <c r="I9" s="21" t="s">
        <v>35</v>
      </c>
      <c r="J9" s="21" t="s">
        <v>38</v>
      </c>
    </row>
    <row r="10" spans="2:14" ht="18.95" customHeight="1" thickTop="1" thickBot="1" x14ac:dyDescent="0.4">
      <c r="B10" s="10"/>
      <c r="C10" s="11"/>
      <c r="D10" s="11"/>
      <c r="E10" s="11"/>
      <c r="F10" s="11"/>
      <c r="G10" s="257" t="s">
        <v>93</v>
      </c>
      <c r="H10" s="258"/>
      <c r="I10" s="22" t="s">
        <v>36</v>
      </c>
      <c r="J10" s="22" t="s">
        <v>39</v>
      </c>
      <c r="N10" s="15"/>
    </row>
    <row r="11" spans="2:14" ht="15" customHeight="1" thickTop="1" thickBot="1" x14ac:dyDescent="0.35">
      <c r="B11" s="9"/>
      <c r="C11" s="9"/>
      <c r="D11" s="9"/>
      <c r="E11" s="9"/>
      <c r="F11" s="9"/>
      <c r="G11" s="12"/>
      <c r="H11" s="12"/>
      <c r="I11" s="12"/>
      <c r="J11" s="12"/>
      <c r="K11" s="12"/>
    </row>
    <row r="12" spans="2:14" ht="18.95" customHeight="1" thickTop="1" thickBot="1" x14ac:dyDescent="0.35">
      <c r="B12" s="3"/>
      <c r="C12" s="4"/>
      <c r="D12" s="5"/>
      <c r="E12" s="4"/>
      <c r="F12" s="4"/>
      <c r="G12" s="69" t="s">
        <v>47</v>
      </c>
      <c r="H12" s="244" t="s">
        <v>50</v>
      </c>
      <c r="I12" s="245"/>
      <c r="J12" s="246"/>
    </row>
    <row r="13" spans="2:14" ht="27.95" customHeight="1" thickTop="1" thickBot="1" x14ac:dyDescent="0.3">
      <c r="B13" s="7"/>
      <c r="C13" s="67" t="s">
        <v>139</v>
      </c>
      <c r="D13" s="68">
        <f>'caja negra'!E8</f>
        <v>0</v>
      </c>
      <c r="E13" s="9"/>
      <c r="F13" s="9"/>
      <c r="G13" s="70" t="s">
        <v>48</v>
      </c>
      <c r="H13" s="250" t="s">
        <v>94</v>
      </c>
      <c r="I13" s="251"/>
      <c r="J13" s="252"/>
      <c r="M13" s="13" t="s">
        <v>51</v>
      </c>
      <c r="N13" s="14">
        <f>'caja negra'!E2</f>
        <v>0</v>
      </c>
    </row>
    <row r="14" spans="2:14" ht="18.95" customHeight="1" thickTop="1" thickBot="1" x14ac:dyDescent="0.3">
      <c r="B14" s="10"/>
      <c r="C14" s="11"/>
      <c r="D14" s="11"/>
      <c r="E14" s="11"/>
      <c r="F14" s="11"/>
      <c r="G14" s="71" t="s">
        <v>49</v>
      </c>
      <c r="H14" s="247" t="s">
        <v>93</v>
      </c>
      <c r="I14" s="248"/>
      <c r="J14" s="249"/>
    </row>
    <row r="15" spans="2:14" ht="17.25" thickTop="1" thickBot="1" x14ac:dyDescent="0.3">
      <c r="B15" s="9"/>
      <c r="C15" s="9"/>
      <c r="D15" s="9"/>
      <c r="E15" s="9"/>
      <c r="F15" s="9"/>
      <c r="G15" s="17"/>
      <c r="H15" s="17"/>
      <c r="I15" s="18"/>
      <c r="J15" s="18"/>
    </row>
    <row r="16" spans="2:14" ht="27.95" customHeight="1" thickTop="1" thickBot="1" x14ac:dyDescent="0.45">
      <c r="B16" s="3"/>
      <c r="C16" s="192" t="s">
        <v>148</v>
      </c>
      <c r="D16" s="193" t="e">
        <f>+'caja negra'!E10</f>
        <v>#DIV/0!</v>
      </c>
      <c r="E16" s="4"/>
      <c r="F16" s="4"/>
      <c r="G16" s="72" t="s">
        <v>52</v>
      </c>
      <c r="H16" s="274" t="s">
        <v>53</v>
      </c>
      <c r="I16" s="275"/>
      <c r="J16" s="276"/>
      <c r="M16" s="2" t="s">
        <v>66</v>
      </c>
    </row>
    <row r="17" spans="2:13" ht="20.25" thickTop="1" thickBot="1" x14ac:dyDescent="0.35">
      <c r="B17" s="10"/>
      <c r="C17" s="11"/>
      <c r="D17" s="11"/>
      <c r="E17" s="11"/>
      <c r="F17" s="11"/>
      <c r="G17" s="73" t="s">
        <v>52</v>
      </c>
      <c r="H17" s="271" t="s">
        <v>54</v>
      </c>
      <c r="I17" s="272"/>
      <c r="J17" s="273"/>
      <c r="M17" s="2">
        <f>'caja negra'!E11</f>
        <v>0</v>
      </c>
    </row>
    <row r="18" spans="2:13" ht="15.75" thickTop="1" x14ac:dyDescent="0.25">
      <c r="D18" s="2"/>
      <c r="E18" s="2"/>
      <c r="F18" s="2"/>
      <c r="G18" s="2"/>
      <c r="H18" s="2"/>
      <c r="J18" s="2"/>
    </row>
    <row r="19" spans="2:13" x14ac:dyDescent="0.25">
      <c r="E19" s="2"/>
      <c r="F19" s="2"/>
      <c r="G19" s="2"/>
      <c r="H19" s="2"/>
      <c r="J19" s="2"/>
    </row>
    <row r="20" spans="2:13" x14ac:dyDescent="0.25">
      <c r="D20" s="2"/>
      <c r="E20" s="2"/>
      <c r="F20" s="2"/>
      <c r="G20" s="2"/>
      <c r="H20" s="2"/>
      <c r="J20" s="2"/>
    </row>
    <row r="21" spans="2:13" ht="19.5" x14ac:dyDescent="0.3">
      <c r="B21" s="277" t="s">
        <v>165</v>
      </c>
      <c r="C21" s="277"/>
      <c r="D21" s="277"/>
      <c r="E21" s="194" t="str">
        <f>HYPERLINK(declaracion!MONTO)</f>
        <v>0</v>
      </c>
      <c r="F21" s="2"/>
      <c r="G21" s="2"/>
      <c r="H21" s="2"/>
      <c r="J21" s="2"/>
    </row>
    <row r="22" spans="2:13" ht="19.5" thickBot="1" x14ac:dyDescent="0.35">
      <c r="B22" s="237" t="str">
        <f>'caja negra'!B2</f>
        <v>PAGO MENSUAL SMART</v>
      </c>
      <c r="C22" s="238"/>
      <c r="D22" s="239"/>
      <c r="E22" s="195">
        <f>'caja negra'!E2</f>
        <v>0</v>
      </c>
      <c r="F22" s="2"/>
      <c r="G22" s="2"/>
      <c r="H22" s="2"/>
      <c r="J22" s="2"/>
    </row>
    <row r="23" spans="2:13" ht="18.75" x14ac:dyDescent="0.3">
      <c r="B23" s="237" t="str">
        <f>'caja negra'!B6</f>
        <v>INGRESO NETO CLIENTE</v>
      </c>
      <c r="C23" s="238"/>
      <c r="D23" s="239"/>
      <c r="E23" s="195">
        <f>'caja negra'!E6</f>
        <v>0</v>
      </c>
      <c r="F23" s="2"/>
      <c r="H23" s="259" t="s">
        <v>88</v>
      </c>
      <c r="I23" s="259"/>
      <c r="J23" s="259"/>
    </row>
    <row r="24" spans="2:13" ht="18.75" x14ac:dyDescent="0.3">
      <c r="B24" s="237" t="str">
        <f>'caja negra'!B7</f>
        <v xml:space="preserve">INGRESO NETO MENOS PAGO </v>
      </c>
      <c r="C24" s="238"/>
      <c r="D24" s="239"/>
      <c r="E24" s="195">
        <f>'caja negra'!E7</f>
        <v>0</v>
      </c>
      <c r="F24" s="2"/>
      <c r="J24" s="2"/>
    </row>
    <row r="25" spans="2:13" ht="18.75" x14ac:dyDescent="0.3">
      <c r="B25" s="237" t="str">
        <f>'caja negra'!B8</f>
        <v>25% DEL INGRESO NETO CLIENTE</v>
      </c>
      <c r="C25" s="238"/>
      <c r="D25" s="239"/>
      <c r="E25" s="195">
        <f>'caja negra'!E8</f>
        <v>0</v>
      </c>
      <c r="F25" s="2"/>
      <c r="J25" s="2"/>
    </row>
    <row r="26" spans="2:13" ht="19.5" x14ac:dyDescent="0.3">
      <c r="B26" s="237" t="s">
        <v>169</v>
      </c>
      <c r="C26" s="238"/>
      <c r="D26" s="239"/>
      <c r="E26" s="196" t="str">
        <f>HYPERLINK(declaracion!P13)</f>
        <v>0</v>
      </c>
      <c r="F26" s="2"/>
      <c r="J26" s="2"/>
    </row>
    <row r="27" spans="2:13" ht="18" customHeight="1" thickBot="1" x14ac:dyDescent="0.3">
      <c r="B27" s="278"/>
      <c r="C27" s="278"/>
      <c r="D27" s="278"/>
      <c r="E27" s="279"/>
      <c r="F27" s="2"/>
      <c r="J27" s="2"/>
    </row>
    <row r="28" spans="2:13" x14ac:dyDescent="0.25">
      <c r="B28" s="278"/>
      <c r="C28" s="278"/>
      <c r="D28" s="278"/>
      <c r="E28" s="279"/>
      <c r="F28" s="2"/>
      <c r="H28" s="259" t="s">
        <v>162</v>
      </c>
      <c r="I28" s="259"/>
      <c r="J28" s="259"/>
    </row>
    <row r="29" spans="2:13" x14ac:dyDescent="0.25">
      <c r="F29" s="2"/>
      <c r="H29" s="191"/>
      <c r="I29" s="191"/>
      <c r="J29" s="191"/>
    </row>
    <row r="30" spans="2:13" x14ac:dyDescent="0.25">
      <c r="F30" s="2"/>
      <c r="H30" s="191"/>
      <c r="I30" s="191"/>
      <c r="J30" s="191"/>
    </row>
    <row r="31" spans="2:13" x14ac:dyDescent="0.25">
      <c r="F31" s="2"/>
      <c r="H31" s="191"/>
      <c r="I31" s="191"/>
      <c r="J31" s="191"/>
    </row>
    <row r="32" spans="2:13" ht="15.75" thickBot="1" x14ac:dyDescent="0.3">
      <c r="F32" s="2"/>
      <c r="J32" s="2"/>
    </row>
    <row r="33" spans="1:11" x14ac:dyDescent="0.25">
      <c r="F33" s="2"/>
      <c r="H33" s="259" t="s">
        <v>161</v>
      </c>
      <c r="I33" s="259"/>
      <c r="J33" s="259"/>
    </row>
    <row r="34" spans="1:11" x14ac:dyDescent="0.25">
      <c r="H34" s="191"/>
      <c r="I34" s="191"/>
      <c r="J34" s="191"/>
    </row>
    <row r="35" spans="1:11" x14ac:dyDescent="0.25">
      <c r="A35" s="260" t="s">
        <v>89</v>
      </c>
      <c r="B35" s="260"/>
      <c r="C35" s="260"/>
      <c r="D35" s="260"/>
      <c r="E35" s="260"/>
      <c r="F35" s="260"/>
      <c r="G35" s="260"/>
      <c r="H35" s="260"/>
      <c r="I35" s="260"/>
      <c r="J35" s="260"/>
      <c r="K35" s="260"/>
    </row>
    <row r="36" spans="1:11" x14ac:dyDescent="0.25">
      <c r="D36" s="2"/>
      <c r="E36" s="2"/>
      <c r="F36" s="2"/>
      <c r="G36" s="2"/>
      <c r="H36" s="2"/>
      <c r="J36" s="2"/>
    </row>
    <row r="37" spans="1:11" x14ac:dyDescent="0.25">
      <c r="D37" s="2"/>
      <c r="E37" s="2"/>
      <c r="F37" s="2"/>
      <c r="G37" s="2"/>
      <c r="H37" s="2"/>
      <c r="J37" s="2"/>
    </row>
    <row r="38" spans="1:11" x14ac:dyDescent="0.25">
      <c r="D38" s="2"/>
      <c r="E38" s="2"/>
      <c r="F38" s="2"/>
      <c r="G38" s="2"/>
      <c r="H38" s="2"/>
      <c r="J38" s="2"/>
    </row>
    <row r="39" spans="1:11" x14ac:dyDescent="0.25">
      <c r="D39" s="2"/>
      <c r="E39" s="2"/>
      <c r="F39" s="2"/>
      <c r="G39" s="2"/>
      <c r="H39" s="2"/>
      <c r="J39" s="2"/>
    </row>
    <row r="40" spans="1:11" x14ac:dyDescent="0.25">
      <c r="D40" s="2"/>
      <c r="E40" s="2"/>
      <c r="F40" s="2"/>
      <c r="G40" s="2"/>
      <c r="H40" s="2"/>
      <c r="J40" s="2"/>
    </row>
    <row r="41" spans="1:11" x14ac:dyDescent="0.25">
      <c r="D41" s="2"/>
      <c r="E41" s="2"/>
      <c r="F41" s="2"/>
      <c r="G41" s="2"/>
      <c r="H41" s="2"/>
      <c r="J41" s="2"/>
    </row>
    <row r="42" spans="1:11" x14ac:dyDescent="0.25">
      <c r="D42" s="2"/>
      <c r="E42" s="2"/>
      <c r="F42" s="2"/>
      <c r="G42" s="2"/>
      <c r="H42" s="2"/>
      <c r="J42" s="2"/>
    </row>
    <row r="43" spans="1:11" x14ac:dyDescent="0.25">
      <c r="D43" s="2"/>
      <c r="E43" s="2"/>
      <c r="F43" s="2"/>
      <c r="G43" s="2"/>
      <c r="H43" s="2"/>
      <c r="J43" s="2"/>
    </row>
    <row r="44" spans="1:11" x14ac:dyDescent="0.25">
      <c r="D44" s="2"/>
      <c r="E44" s="2"/>
      <c r="F44" s="2"/>
      <c r="G44" s="2"/>
      <c r="H44" s="2"/>
      <c r="J44" s="2"/>
    </row>
    <row r="45" spans="1:11" x14ac:dyDescent="0.25">
      <c r="D45" s="2"/>
      <c r="E45" s="2"/>
      <c r="F45" s="2"/>
      <c r="G45" s="2"/>
      <c r="H45" s="2"/>
      <c r="J45" s="2"/>
    </row>
    <row r="46" spans="1:11" x14ac:dyDescent="0.25">
      <c r="D46" s="2"/>
      <c r="E46" s="2"/>
      <c r="F46" s="2"/>
      <c r="G46" s="2"/>
      <c r="H46" s="2"/>
      <c r="J46" s="2"/>
    </row>
    <row r="47" spans="1:11" x14ac:dyDescent="0.25">
      <c r="D47" s="2"/>
      <c r="E47" s="2"/>
      <c r="F47" s="2"/>
      <c r="G47" s="2"/>
      <c r="H47" s="2"/>
      <c r="J47" s="2"/>
    </row>
    <row r="48" spans="1:11" x14ac:dyDescent="0.25">
      <c r="D48" s="2"/>
      <c r="E48" s="2"/>
      <c r="F48" s="2"/>
      <c r="G48" s="2"/>
      <c r="H48" s="2"/>
      <c r="J48" s="2"/>
    </row>
  </sheetData>
  <sheetProtection selectLockedCells="1" selectUnlockedCells="1"/>
  <mergeCells count="28">
    <mergeCell ref="B25:D25"/>
    <mergeCell ref="H23:J23"/>
    <mergeCell ref="H28:J28"/>
    <mergeCell ref="A35:K35"/>
    <mergeCell ref="L2:M2"/>
    <mergeCell ref="E2:I2"/>
    <mergeCell ref="E3:I3"/>
    <mergeCell ref="I5:J5"/>
    <mergeCell ref="G6:H6"/>
    <mergeCell ref="H17:J17"/>
    <mergeCell ref="H16:J16"/>
    <mergeCell ref="H33:J33"/>
    <mergeCell ref="B21:D21"/>
    <mergeCell ref="B27:D28"/>
    <mergeCell ref="B26:D26"/>
    <mergeCell ref="E27:E28"/>
    <mergeCell ref="B22:D22"/>
    <mergeCell ref="B23:D23"/>
    <mergeCell ref="B24:D24"/>
    <mergeCell ref="D1:K1"/>
    <mergeCell ref="C5:E5"/>
    <mergeCell ref="H12:J12"/>
    <mergeCell ref="H14:J14"/>
    <mergeCell ref="H13:J13"/>
    <mergeCell ref="G7:H7"/>
    <mergeCell ref="G8:H8"/>
    <mergeCell ref="G9:H9"/>
    <mergeCell ref="G10:H10"/>
  </mergeCells>
  <conditionalFormatting sqref="D9">
    <cfRule type="cellIs" dxfId="7" priority="25" operator="between">
      <formula>73</formula>
      <formula>150</formula>
    </cfRule>
    <cfRule type="cellIs" dxfId="6" priority="26" operator="between">
      <formula>0</formula>
      <formula>53</formula>
    </cfRule>
    <cfRule type="cellIs" dxfId="5" priority="27" operator="between">
      <formula>63</formula>
      <formula>72</formula>
    </cfRule>
    <cfRule type="cellIs" dxfId="4" priority="38" operator="between">
      <formula>56</formula>
      <formula>62</formula>
    </cfRule>
  </conditionalFormatting>
  <conditionalFormatting sqref="E9">
    <cfRule type="cellIs" dxfId="3" priority="21" operator="between">
      <formula>63</formula>
      <formula>150</formula>
    </cfRule>
    <cfRule type="cellIs" dxfId="2" priority="22" operator="between">
      <formula>0</formula>
      <formula>45</formula>
    </cfRule>
    <cfRule type="cellIs" dxfId="1" priority="23" operator="between">
      <formula>53</formula>
      <formula>62</formula>
    </cfRule>
    <cfRule type="cellIs" dxfId="0" priority="24" operator="between">
      <formula>46</formula>
      <formula>52</formula>
    </cfRule>
  </conditionalFormatting>
  <conditionalFormatting sqref="D13">
    <cfRule type="iconSet" priority="42">
      <iconSet>
        <cfvo type="percent" val="0"/>
        <cfvo type="formula" val="$N$13"/>
        <cfvo type="formula" val="$N$13"/>
      </iconSet>
    </cfRule>
  </conditionalFormatting>
  <printOptions horizontalCentered="1"/>
  <pageMargins left="0" right="0" top="1.3385826771653544" bottom="0" header="0" footer="0"/>
  <pageSetup scale="75" orientation="landscape" r:id="rId1"/>
  <headerFooter>
    <oddFooter>&amp;L&amp;D</oddFooter>
  </headerFooter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" id="{1402E449-ABD8-4A02-9B8D-FBB3521105D9}">
            <x14:iconSet custom="1">
              <x14:cfvo type="percent">
                <xm:f>0</xm:f>
              </x14:cfvo>
              <x14:cfvo type="formula">
                <xm:f>$D$16</xm:f>
              </x14:cfvo>
              <x14:cfvo type="formula">
                <xm:f>$D$16</xm:f>
              </x14:cfvo>
              <x14:cfIcon iconSet="3TrafficLights1" iconId="0"/>
              <x14:cfIcon iconSet="3TrafficLights1" iconId="1"/>
              <x14:cfIcon iconSet="3TrafficLights1" iconId="2"/>
            </x14:iconSet>
          </x14:cfRule>
          <xm:sqref>D16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3</vt:i4>
      </vt:variant>
    </vt:vector>
  </HeadingPairs>
  <TitlesOfParts>
    <vt:vector size="7" baseType="lpstr">
      <vt:lpstr>declaracion</vt:lpstr>
      <vt:lpstr>captura</vt:lpstr>
      <vt:lpstr>caja negra</vt:lpstr>
      <vt:lpstr>ANALISIS DICTAMEN</vt:lpstr>
      <vt:lpstr>'ANALISIS DICTAMEN'!Área_de_impresión</vt:lpstr>
      <vt:lpstr>captura!Área_de_impresión</vt:lpstr>
      <vt:lpstr>declaracion!MONTO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SISTEMAS</dc:creator>
  <cp:lastModifiedBy>G13</cp:lastModifiedBy>
  <cp:revision>0</cp:revision>
  <cp:lastPrinted>2014-06-12T19:10:55Z</cp:lastPrinted>
  <dcterms:created xsi:type="dcterms:W3CDTF">2011-02-25T00:54:02Z</dcterms:created>
  <dcterms:modified xsi:type="dcterms:W3CDTF">2014-10-03T14:57:32Z</dcterms:modified>
</cp:coreProperties>
</file>